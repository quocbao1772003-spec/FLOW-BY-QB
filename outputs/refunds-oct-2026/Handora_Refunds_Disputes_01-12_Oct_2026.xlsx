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d7ec4929f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1dc59bdda9d24232"/>
    <x:sheet xmlns:r="http://schemas.openxmlformats.org/officeDocument/2006/relationships" name="Vu viec" sheetId="2" r:id="R58894719601645c7"/>
    <x:sheet xmlns:r="http://schemas.openxmlformats.org/officeDocument/2006/relationships" name="Hanh trinh" sheetId="3" r:id="R501373f13c3f4048"/>
    <x:sheet xmlns:r="http://schemas.openxmlformats.org/officeDocument/2006/relationships" name="San pham" sheetId="4" r:id="R36053f00f8c04aee"/>
    <x:sheet xmlns:r="http://schemas.openxmlformats.org/officeDocument/2006/relationships" name="Bang chung" sheetId="5" r:id="Re6a7a03436a5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.00"/>
    <x:numFmt numFmtId="201" formatCode="dd/mm/yyyy hh:mm"/>
    <x:numFmt numFmtId="202" formatCode="0.0"/>
    <x:numFmt numFmtId="203" formatCode="dd/mm/yyyy hh:mm:ss&quot; UTC&quot;"/>
  </x:numFmts>
  <x:fonts count="6">
    <x:font>
      <x:sz val="11"/>
      <x:name val="Carlito"/>
    </x:font>
    <x:font>
      <x:b/>
      <x:sz val="14"/>
      <x:color rgb="FF26364B"/>
      <x:name val="Arial"/>
    </x:font>
    <x:font>
      <x:i/>
      <x:sz val="10"/>
      <x:color rgb="FF5F6B78"/>
      <x:name val="Arial"/>
    </x:font>
    <x:font>
      <x:sz val="10"/>
      <x:color rgb="FF243447"/>
      <x:name val="Arial"/>
    </x:font>
    <x:font>
      <x:b/>
      <x:sz val="10"/>
      <x:color rgb="FFFFFFFF"/>
      <x:name val="Arial"/>
    </x:font>
    <x:font>
      <x:sz val="10"/>
      <x:color rgb="FF45556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B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5B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1b9fb79e34b3b" /><Relationship Type="http://schemas.openxmlformats.org/officeDocument/2006/relationships/theme" Target="/xl/theme/theme1.xml" Id="R13f666fd657549e7" /><Relationship Type="http://schemas.openxmlformats.org/officeDocument/2006/relationships/sharedStrings" Target="/xl/sharedStrings.xml" Id="R568715575f1e4c22" /><Relationship Type="http://schemas.openxmlformats.org/officeDocument/2006/relationships/worksheet" Target="/xl/worksheets/sheet1.xml" Id="R1dc59bdda9d24232" /><Relationship Type="http://schemas.openxmlformats.org/officeDocument/2006/relationships/worksheet" Target="/xl/worksheets/sheet2.xml" Id="R58894719601645c7" /><Relationship Type="http://schemas.openxmlformats.org/officeDocument/2006/relationships/worksheet" Target="/xl/worksheets/sheet3.xml" Id="R501373f13c3f4048" /><Relationship Type="http://schemas.openxmlformats.org/officeDocument/2006/relationships/worksheet" Target="/xl/worksheets/sheet4.xml" Id="R36053f00f8c04aee" /><Relationship Type="http://schemas.openxmlformats.org/officeDocument/2006/relationships/worksheet" Target="/xl/worksheets/sheet5.xml" Id="Re6a7a03436a54078" /></Relationships>
</file>

<file path=xl/tables/table1.xml><?xml version="1.0" encoding="utf-8"?>
<x:table xmlns:x="http://schemas.openxmlformats.org/spreadsheetml/2006/main" id="5" name="TTongquan" displayName="TTongquan" ref="A5:C25" headerRowCount="1" totalsRowCount="0" totalsRowShown="0">
  <x:tableColumns count="3">
    <x:tableColumn id="1" name="Chỉ số"/>
    <x:tableColumn id="2" name="Giá trị"/>
    <x:tableColumn id="3" name="Diễn giả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Vuviec" displayName="TVuviec" ref="A5:V20" headerRowCount="1" totalsRowCount="0" totalsRowShown="0">
  <x:tableColumns count="22">
    <x:tableColumn id="1" name="Đơn"/>
    <x:tableColumn id="2" name="Nhóm báo cáo"/>
    <x:tableColumn id="3" name="Thuộc nhóm mới"/>
    <x:tableColumn id="4" name="Khách hàng"/>
    <x:tableColumn id="5" name="Khách tại lúc mua"/>
    <x:tableColumn id="6" name="Tổng đơn hiện tại"/>
    <x:tableColumn id="7" name="Loại"/>
    <x:tableColumn id="8" name="Trạng thái"/>
    <x:tableColumn id="9" name="Lý do / ghi chú gốc"/>
    <x:tableColumn id="10" name="Giá trị đơn USD"/>
    <x:tableColumn id="11" name="Đã hoàn USD"/>
    <x:tableColumn id="12" name="Tiền trong event USD"/>
    <x:tableColumn id="13" name="Bộ móng mua"/>
    <x:tableColumn id="14" name="Quà tặng"/>
    <x:tableColumn id="15" name="Tip (dòng)"/>
    <x:tableColumn id="16" name="Tạo hoàn tiền"/>
    <x:tableColumn id="17" name="Hoàn thành công"/>
    <x:tableColumn id="18" name="Mở / mốc đầu tiên"/>
    <x:tableColumn id="19" name="Độ chính xác mốc mở"/>
    <x:tableColumn id="20" name="Ngày thắng"/>
    <x:tableColumn id="21" name="Việc cần làm"/>
    <x:tableColumn id="22" name="Nguồn đơ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Hanhtrinh" displayName="THanhtrinh" ref="A5:S20" headerRowCount="1" totalsRowCount="0" totalsRowShown="0">
  <x:tableColumns count="19">
    <x:tableColumn id="1" name="Đơn"/>
    <x:tableColumn id="2" name="Nhóm báo cáo"/>
    <x:tableColumn id="3" name="Lần xem đầu"/>
    <x:tableColumn id="4" name="Nguồn đầu"/>
    <x:tableColumn id="5" name="Lần xem cuối"/>
    <x:tableColumn id="6" name="Nguồn cuối"/>
    <x:tableColumn id="7" name="Ngày mua"/>
    <x:tableColumn id="8" name="Tạo fulfillment"/>
    <x:tableColumn id="9" name="Bắt đầu vận chuyển"/>
    <x:tableColumn id="10" name="Ngày nhận tracking"/>
    <x:tableColumn id="11" name="Ngày yêu cầu qua CS"/>
    <x:tableColumn id="12" name="Tạo hoàn tiền"/>
    <x:tableColumn id="13" name="Hoàn thành công"/>
    <x:tableColumn id="14" name="Mở / mốc tranh chấp"/>
    <x:tableColumn id="15" name="Ngày thắng"/>
    <x:tableColumn id="16" name="Mua đến nhận (ngày)"/>
    <x:tableColumn id="17" name="Mua đến hoàn (ngày)"/>
    <x:tableColumn id="18" name="Trạng thái giao"/>
    <x:tableColumn id="19" name="Trang vào đầ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Sanpham" displayName="TSanpham" ref="A5:K60" headerRowCount="1" totalsRowCount="0" totalsRowShown="0">
  <x:tableColumns count="11">
    <x:tableColumn id="1" name="Đơn"/>
    <x:tableColumn id="2" name="Nhóm báo cáo"/>
    <x:tableColumn id="3" name="Thuộc nhóm mới"/>
    <x:tableColumn id="4" name="Sản phẩm"/>
    <x:tableColumn id="5" name="SKU"/>
    <x:tableColumn id="6" name="Biến thể"/>
    <x:tableColumn id="7" name="Phân loại"/>
    <x:tableColumn id="8" name="SL trong đơn"/>
    <x:tableColumn id="9" name="Giá dòng API USD"/>
    <x:tableColumn id="10" name="SL dòng được hoàn"/>
    <x:tableColumn id="11" name="Subtotal hoàn US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Bangchung" displayName="TBangchung" ref="A5:G65" headerRowCount="1" totalsRowCount="0" totalsRowShown="0">
  <x:tableColumns count="7">
    <x:tableColumn id="1" name="Đơn"/>
    <x:tableColumn id="2" name="Ngày giờ PDT"/>
    <x:tableColumn id="3" name="Ngày giờ UTC gốc"/>
    <x:tableColumn id="4" name="Action"/>
    <x:tableColumn id="5" name="Nội dung gốc"/>
    <x:tableColumn id="6" name="ID bằng chứng"/>
    <x:tableColumn id="7" name="Phạm v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f84f85bbd24e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a1a64fd70e4f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f3ed50c9e643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2b721eb20f46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a56455ac2347b8" /></Relationships>
</file>

<file path=xl/worksheets/sheet1.xml><?xml version="1.0" encoding="utf-8"?>
<x:worksheet xmlns:x="http://schemas.openxmlformats.org/spreadsheetml/2006/main">
  <x:sheetPr>
    <x:tabColor rgb="FF26364B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110" hidden="0" customWidth="1"/>
  </x:cols>
  <x:sheetData>
    <x:row r="2">
      <x:c r="A2" s="1" t="str">
        <x:v>Handora: hoàn tiền và tranh chấp 1–12/10/2026</x:v>
      </x:c>
    </x:row>
    <x:row r="3">
      <x:c r="A3" s="2" t="str">
        <x:v>Mốc ngày: America/Los_Angeles (PDT, UTC−7). Giá trị: USD. Cập nhật 12/10/2026 10:09 UTC+7.</x:v>
      </x:c>
    </x:row>
    <x:row r="5" ht="42" customHeight="1">
      <x:c r="A5" s="8" t="str">
        <x:v>Chỉ số</x:v>
      </x:c>
      <x:c r="B5" s="8" t="str">
        <x:v>Giá trị</x:v>
      </x:c>
      <x:c r="C5" s="8" t="str">
        <x:v>Diễn giải</x:v>
      </x:c>
    </x:row>
    <x:row r="6" ht="32" customHeight="1">
      <x:c r="A6" s="4" t="str">
        <x:v>Hoàn tiền được tạo trong kỳ</x:v>
      </x:c>
      <x:c r="B6" s="4" t="n">
        <x:f>COUNTIFS('Vu viec'!B6:B20,"Hoàn tiền trong kỳ")</x:f>
        <x:v>3</x:v>
      </x:c>
      <x:c r="C6" s="4" t="str">
        <x:v>3 đơn, 3 khách; ngày yêu cầu qua CS chưa xác định</x:v>
      </x:c>
    </x:row>
    <x:row r="7" ht="32" customHeight="1">
      <x:c r="A7" s="9" t="str">
        <x:v>Tổng thực hoàn USD</x:v>
      </x:c>
      <x:c r="B7" s="13" t="n">
        <x:f>SUM('Vu viec'!K6:K20)</x:f>
        <x:v>238.07999999999998</x:v>
      </x:c>
      <x:c r="C7" s="9" t="str">
        <x:v>Chỉ cộng refund; không cộng tiền dispute</x:v>
      </x:c>
    </x:row>
    <x:row r="8" ht="32" customHeight="1">
      <x:c r="A8" s="4" t="str">
        <x:v>Giá trị gốc các đơn hoàn USD</x:v>
      </x:c>
      <x:c r="B8" s="12" t="n">
        <x:f>SUMIFS('Vu viec'!J6:J20,'Vu viec'!B6:B20,"Hoàn tiền trong kỳ")</x:f>
        <x:v>239.07999999999998</x:v>
      </x:c>
      <x:c r="C8" s="4" t="str">
        <x:v>Có $1 tip chưa hoàn ở HD4607</x:v>
      </x:c>
    </x:row>
    <x:row r="9" ht="32" customHeight="1">
      <x:c r="A9" s="9" t="str">
        <x:v>Bộ móng trong các đơn hoàn</x:v>
      </x:c>
      <x:c r="B9" s="9" t="n">
        <x:f>SUMIFS('Vu viec'!M6:M20,'Vu viec'!B6:B20,"Hoàn tiền trong kỳ")</x:f>
        <x:v>8</x:v>
      </x:c>
      <x:c r="C9" s="9" t="str">
        <x:v>Quà tặng và tip được đếm riêng</x:v>
      </x:c>
    </x:row>
    <x:row r="10" ht="32" customHeight="1">
      <x:c r="A10" s="4" t="str">
        <x:v>Bộ móng được hoàn theo dòng</x:v>
      </x:c>
      <x:c r="B10" s="4" t="n">
        <x:f>SUM('San pham'!J6:J60)</x:f>
        <x:v>8</x:v>
      </x:c>
      <x:c r="C10" s="4" t="str">
        <x:v>8 dòng sản phẩm; không tính quà tặng</x:v>
      </x:c>
    </x:row>
    <x:row r="11" ht="32" customHeight="1">
      <x:c r="A11" s="9" t="str">
        <x:v>Tranh chấp mới ghi nhận</x:v>
      </x:c>
      <x:c r="B11" s="9" t="n">
        <x:f>COUNTIFS('Vu viec'!B6:B20,"Tranh chấp mới")</x:f>
        <x:v>3</x:v>
      </x:c>
      <x:c r="C11" s="9" t="str">
        <x:v>2 chargeback + 1 inquiry</x:v>
      </x:c>
    </x:row>
    <x:row r="12" ht="32" customHeight="1">
      <x:c r="A12" s="4" t="str">
        <x:v>Tiền dispute mới trong event USD</x:v>
      </x:c>
      <x:c r="B12" s="12" t="n">
        <x:f>SUM('Vu viec'!L9:L11)</x:f>
        <x:v>174.38</x:v>
      </x:c>
      <x:c r="C12" s="4" t="str">
        <x:v>Có thể gồm phí hoặc khác tiền gốc; chưa tách được</x:v>
      </x:c>
    </x:row>
    <x:row r="13" ht="32" customHeight="1">
      <x:c r="A13" s="9" t="str">
        <x:v>Giá trị đơn tranh chấp mới USD</x:v>
      </x:c>
      <x:c r="B13" s="13" t="n">
        <x:f>SUMIFS('Vu viec'!J6:J20,'Vu viec'!B6:B20,"Tranh chấp mới")</x:f>
        <x:v>161.27</x:v>
      </x:c>
      <x:c r="C13" s="9" t="str">
        <x:v>Đếm giá trị gốc đơn một lần</x:v>
      </x:c>
    </x:row>
    <x:row r="14" ht="32" customHeight="1">
      <x:c r="A14" s="4" t="str">
        <x:v>Thắng trong kỳ</x:v>
      </x:c>
      <x:c r="B14" s="4" t="n">
        <x:f>COUNTIFS('Vu viec'!B6:B20,"Thắng trong kỳ")</x:f>
        <x:v>2</x:v>
      </x:c>
      <x:c r="C14" s="4" t="str">
        <x:v>2 vụ mở trước kỳ, không cộng vào tranh chấp mới</x:v>
      </x:c>
    </x:row>
    <x:row r="15" ht="32" customHeight="1">
      <x:c r="A15" s="9" t="str">
        <x:v>Thua trong kỳ</x:v>
      </x:c>
      <x:c r="B15" s="9" t="n">
        <x:v>0</x:v>
      </x:c>
      <x:c r="C15" s="9" t="str">
        <x:v>Không thấy event dispute_lost trong kỳ trong 18 đơn tranh chấp</x:v>
      </x:c>
    </x:row>
    <x:row r="16" ht="32" customHeight="1">
      <x:c r="A16" s="4" t="str">
        <x:v>Tiền event của vụ thắng USD</x:v>
      </x:c>
      <x:c r="B16" s="12" t="n">
        <x:f>SUM('Vu viec'!L12:L13)</x:f>
        <x:v>210.98000000000002</x:v>
      </x:c>
      <x:c r="C16" s="4" t="str">
        <x:v>148.40 + 62.58; chưa xác nhận toàn bộ payout đã nhận</x:v>
      </x:c>
    </x:row>
    <x:row r="17" ht="32" customHeight="1">
      <x:c r="A17" s="9" t="str">
        <x:v>Cần phản hồi hiện tại</x:v>
      </x:c>
      <x:c r="B17" s="9" t="n">
        <x:f>COUNTIFS('Vu viec'!H6:H20,"NEEDS_RESPONSE")</x:f>
        <x:v>3</x:v>
      </x:c>
      <x:c r="C17" s="9" t="str">
        <x:v>HD4324, HD4359, HD4452</x:v>
      </x:c>
    </x:row>
    <x:row r="18" ht="32" customHeight="1">
      <x:c r="A18" s="4" t="str">
        <x:v>Đang xét duyệt hiện tại</x:v>
      </x:c>
      <x:c r="B18" s="4" t="n">
        <x:f>COUNTIFS('Vu viec'!H6:H20,"UNDER_REVIEW")</x:f>
        <x:v>7</x:v>
      </x:c>
      <x:c r="C18" s="4" t="str">
        <x:v>7 vụ; gồm tồn đọng từ tháng 9</x:v>
      </x:c>
    </x:row>
    <x:row r="19" ht="32" customHeight="1">
      <x:c r="A19" s="9" t="str">
        <x:v>Tổng tranh chấp chưa kết thúc</x:v>
      </x:c>
      <x:c r="B19" s="9" t="n">
        <x:f>SUM(B17:B18)</x:f>
        <x:v>10</x:v>
      </x:c>
      <x:c r="C19" s="9" t="str">
        <x:v>10 vụ tại thời điểm trích xuất</x:v>
      </x:c>
    </x:row>
    <x:row r="20" ht="32" customHeight="1">
      <x:c r="A20" s="4" t="str">
        <x:v>Tổng đơn nhóm mới / refund</x:v>
      </x:c>
      <x:c r="B20" s="4" t="n">
        <x:f>SUM('Vu viec'!C6:C20)</x:f>
        <x:v>6</x:v>
      </x:c>
      <x:c r="C20" s="4" t="str">
        <x:v>3 refund + 3 dispute mới; 6 khách khác nhau</x:v>
      </x:c>
    </x:row>
    <x:row r="21" ht="32" customHeight="1">
      <x:c r="A21" s="9" t="str">
        <x:v>Giá trị đơn nhóm mới USD</x:v>
      </x:c>
      <x:c r="B21" s="13" t="n">
        <x:f>SUMIFS('Vu viec'!J6:J20,'Vu viec'!C6:C20,1)</x:f>
        <x:v>400.3499999999999</x:v>
      </x:c>
      <x:c r="C21" s="9" t="str">
        <x:v>Không cộng các đơn thắng hoặc tồn đọng trước kỳ</x:v>
      </x:c>
    </x:row>
    <x:row r="22" ht="32" customHeight="1">
      <x:c r="A22" s="4" t="str">
        <x:v>Bộ móng nhóm mới</x:v>
      </x:c>
      <x:c r="B22" s="4" t="n">
        <x:f>SUMIFS('Vu viec'!M6:M20,'Vu viec'!C6:C20,1)</x:f>
        <x:v>14</x:v>
      </x:c>
      <x:c r="C22" s="4" t="str">
        <x:v>14 bộ; quà tặng và tip không tính vào bộ móng</x:v>
      </x:c>
    </x:row>
    <x:row r="23" ht="32" customHeight="1">
      <x:c r="A23" s="9" t="str">
        <x:v>Khách mới ở thời điểm mua (nhóm mới)</x:v>
      </x:c>
      <x:c r="B23" s="9" t="n">
        <x:f>COUNTIFS('Vu viec'!C6:C20,1,'Vu viec'!E6:E20,"Mới")</x:f>
        <x:v>6</x:v>
      </x:c>
      <x:c r="C23" s="9" t="str">
        <x:v>Căn cứ thứ tự đơn và lịch sử đơn; không dùng số đơn hiện tại</x:v>
      </x:c>
    </x:row>
    <x:row r="24" ht="32" customHeight="1">
      <x:c r="A24" s="4" t="str">
        <x:v>Khách cũ ở thời điểm mua (nhóm mới)</x:v>
      </x:c>
      <x:c r="B24" s="4" t="n">
        <x:f>COUNTIFS('Vu viec'!C6:C20,1,'Vu viec'!E6:E20,"Cũ")</x:f>
        <x:v>0</x:v>
      </x:c>
      <x:c r="C24" s="4" t="str">
        <x:v>0 trong 6 trường hợp mới được ghi nhận</x:v>
      </x:c>
    </x:row>
    <x:row r="25" ht="32" customHeight="1">
      <x:c r="A25" s="9" t="str">
        <x:v>Tổng yêu cầu hoàn tiền qua mọi kênh</x:v>
      </x:c>
      <x:c r="B25" s="9" t="str">
        <x:v>Chưa xác định</x:v>
      </x:c>
      <x:c r="C25" s="9" t="str">
        <x:v>Chưa đọc được email/chat và PayPal</x:v>
      </x:c>
    </x:row>
    <x:row r="28" ht="30" customHeight="1">
      <x:c r="A28" s="24" t="str">
        <x:v>Lý do hoàn</x:v>
      </x:c>
      <x:c r="B28" s="24" t="str">
        <x:v>Số vụ</x:v>
      </x:c>
      <x:c r="C28" s="24" t="str">
        <x:v>USD đã hoàn</x:v>
      </x:c>
    </x:row>
    <x:row r="29">
      <x:c r="A29" t="str">
        <x:v>Mua nhầm</x:v>
      </x:c>
      <x:c r="B29" t="n">
        <x:v>1</x:v>
      </x:c>
      <x:c r="C29" s="20" t="n">
        <x:v>41.91</x:v>
      </x:c>
    </x:row>
    <x:row r="30">
      <x:c r="A30" t="str">
        <x:v>Giao chậm / không cần nữa</x:v>
      </x:c>
      <x:c r="B30" t="n">
        <x:v>1</x:v>
      </x:c>
      <x:c r="C30" s="20" t="n">
        <x:v>77.32</x:v>
      </x:c>
    </x:row>
    <x:row r="31">
      <x:c r="A31" t="str">
        <x:v>Thất lạc</x:v>
      </x:c>
      <x:c r="B31" t="n">
        <x:v>1</x:v>
      </x:c>
      <x:c r="C31" s="20" t="n">
        <x:v>118.85</x:v>
      </x:c>
    </x:row>
    <x:row r="34">
      <x:c r="A34" t="str">
        <x:v>Giới hạn và các điểm cần đối chiếu</x:v>
      </x:c>
    </x:row>
    <x:row r="35" ht="36" customHeight="1">
      <x:c r="A35" s="22" t="str">
        <x:v>Nguồn: Shopify Admin kết nối Handora. Quét đủ 719 đơn cập nhật từ 01/10 00:00 PDT, 18 đơn có trạng thái tranh chấp; phân trang đã hết.</x:v>
      </x:c>
    </x:row>
    <x:row r="36" ht="36" customHeight="1">
      <x:c r="A36" s="22" t="str">
        <x:v>Kỳ yêu cầu: 01–12/10/2026. Trích xuất lúc 12/10 10:09 UTC+7 = 11/10 20:09 PDT; ngày 12/10 chưa kết thúc và chưa bắt đầu tại cửa hàng.</x:v>
      </x:c>
    </x:row>
    <x:row r="37" ht="36" customHeight="1">
      <x:c r="A37" s="22" t="str">
        <x:v>3 refund là các giao dịch hoàn được ghi nhận, không phải toàn bộ yêu cầu gửi qua CS. Chưa có email/chat; ngày yêu cầu, yêu cầu bị từ chối hoặc đang chờ có thể thiếu.</x:v>
      </x:c>
    </x:row>
    <x:row r="38" ht="36" customHeight="1">
      <x:c r="A38" s="22" t="str">
        <x:v>Đọc tài khoản Shopify Payments bị từ chối quyền. Lý do dispute, số tiền gốc dispute, phí, hạn bằng chứng và ngày kết thúc chính thức chưa đầy đủ. Event + OrderDisputeSummary dùng để đối chiếu.</x:v>
      </x:c>
    </x:row>
    <x:row r="39" ht="36" customHeight="1">
      <x:c r="A39" s="22" t="str">
        <x:v>PayPal và cổng thanh toán ngoài Shopify Payments chưa được truy cập. Không xác nhận đây là toàn bộ tranh chấp mọi kênh.</x:v>
      </x:c>
    </x:row>
    <x:row r="40" ht="36" customHeight="1">
      <x:c r="A40" s="22" t="str">
        <x:v>HD3910: note nói hơn một tháng giao đến; tracking mua 05/09, giao 29/09 (~23.8 ngày). Giữ nguyên hai nguồn, chưa chọn nguồn nào thay cho nguồn nào.</x:v>
      </x:c>
    </x:row>
    <x:row r="41" ht="36" customHeight="1">
      <x:c r="A41" s="22" t="str">
        <x:v>HD4607: tạo refund 01/10 21:13 PDT, thành công 02/10 21:15 PDT. Giá trị đơn 42.91, hoàn 41.91; chênh 1.00 tương ứng dòng Tip.</x:v>
      </x:c>
    </x:row>
    <x:row r="42" ht="36" customHeight="1">
      <x:c r="A42" s="22" t="str">
        <x:v>Ngày xem là lượt ghé có attribution trong Shopify, không chứng minh toàn bộ lịch sử xem. Tạo fulfillment không đồng nghĩa ngày giao thực tế.</x:v>
      </x:c>
    </x:row>
    <x:row r="43" ht="36" customHeight="1">
      <x:c r="A43" s="22" t="str">
        <x:v>Phân loại khách mới/cũ tại đơn đang xét từ lịch sử mua. Marie: HD3361 là đơn đầu, HD3495 là đơn sau; Lindsey có đơn thứ 2 ngày 11/10 nhưng HD4059 vẫn là đơn đầu.</x:v>
      </x:c>
    </x:row>
    <x:row r="44" ht="36" customHeight="1">
      <x:c r="A44" s="22" t="str">
        <x:v>Dòng sản phẩm API và subtotal refund có thể dùng cơ sở giảm giá khác nhau; lấy totalPriceSet làm giá trị đơn, totalRefundedSet làm tiền hoàn. Số bộ móng loại Free Gift và Tip.</x:v>
      </x:c>
    </x:row>
    <x:row r="45" ht="36" customHeight="1">
      <x:c r="A45" s="22" t="str">
        <x:v>Chưa tính tỷ lệ refund/doanh thu kỳ: các đơn có thể mua tháng 9, cần xác định mẫu số và cohort phù hợp. Không dùng 719 đơn cập nhật làm tỷ lệ refund.</x:v>
      </x:c>
    </x:row>
  </x:sheetData>
  <x:mergeCells>
    <x:mergeCell ref="A35:C35"/>
    <x:mergeCell ref="A36:C36"/>
    <x:mergeCell ref="A37:C37"/>
    <x:mergeCell ref="A38:C38"/>
    <x:mergeCell ref="A39:C39"/>
    <x:mergeCell ref="A40:C40"/>
    <x:mergeCell ref="A41:C41"/>
    <x:mergeCell ref="A42:C42"/>
    <x:mergeCell ref="A43:C43"/>
    <x:mergeCell ref="A44:C44"/>
    <x:mergeCell ref="A45:C45"/>
  </x:mergeCells>
  <x:pageMargins left="0.7" right="0.7" top="0.75" bottom="0.75" header="0.3" footer="0.3"/>
  <x:tableParts count="1">
    <x:tablePart xmlns:r="http://schemas.openxmlformats.org/officeDocument/2006/relationships" r:id="R43f84f85bbd24e2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5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21" hidden="0" customWidth="1"/>
    <x:col min="9" max="9" width="52" hidden="0" customWidth="1"/>
    <x:col min="10" max="10" width="19" hidden="0" customWidth="1"/>
    <x:col min="11" max="11" width="19" hidden="0" customWidth="1"/>
    <x:col min="12" max="12" width="21" hidden="0" customWidth="1"/>
    <x:col min="13" max="13" width="16" hidden="0" customWidth="1"/>
    <x:col min="14" max="14" width="14" hidden="0" customWidth="1"/>
    <x:col min="15" max="15" width="14" hidden="0" customWidth="1"/>
    <x:col min="16" max="16" width="23" hidden="0" customWidth="1"/>
    <x:col min="17" max="17" width="23" hidden="0" customWidth="1"/>
    <x:col min="18" max="18" width="23" hidden="0" customWidth="1"/>
    <x:col min="19" max="19" width="48" hidden="0" customWidth="1"/>
    <x:col min="20" max="20" width="23" hidden="0" customWidth="1"/>
    <x:col min="21" max="21" width="48" hidden="0" customWidth="1"/>
    <x:col min="22" max="22" width="80" hidden="0" customWidth="1"/>
  </x:cols>
  <x:sheetData>
    <x:row r="2">
      <x:c r="A2" s="1" t="str">
        <x:v>Các vụ việc và tình trạng xử lý</x:v>
      </x:c>
    </x:row>
    <x:row r="3">
      <x:c r="A3" s="2" t="str">
        <x:v>Mốc ngày: America/Los_Angeles (PDT, UTC−7). Giá trị: USD. Cập nhật 12/10/2026 10:09 UTC+7.</x:v>
      </x:c>
    </x:row>
    <x:row r="5" ht="42" customHeight="1">
      <x:c r="A5" s="8" t="str">
        <x:v>Đơn</x:v>
      </x:c>
      <x:c r="B5" s="8" t="str">
        <x:v>Nhóm báo cáo</x:v>
      </x:c>
      <x:c r="C5" s="8" t="str">
        <x:v>Thuộc nhóm mới</x:v>
      </x:c>
      <x:c r="D5" s="8" t="str">
        <x:v>Khách hàng</x:v>
      </x:c>
      <x:c r="E5" s="8" t="str">
        <x:v>Khách tại lúc mua</x:v>
      </x:c>
      <x:c r="F5" s="8" t="str">
        <x:v>Tổng đơn hiện tại</x:v>
      </x:c>
      <x:c r="G5" s="8" t="str">
        <x:v>Loại</x:v>
      </x:c>
      <x:c r="H5" s="8" t="str">
        <x:v>Trạng thái</x:v>
      </x:c>
      <x:c r="I5" s="8" t="str">
        <x:v>Lý do / ghi chú gốc</x:v>
      </x:c>
      <x:c r="J5" s="8" t="str">
        <x:v>Giá trị đơn USD</x:v>
      </x:c>
      <x:c r="K5" s="8" t="str">
        <x:v>Đã hoàn USD</x:v>
      </x:c>
      <x:c r="L5" s="8" t="str">
        <x:v>Tiền trong event USD</x:v>
      </x:c>
      <x:c r="M5" s="8" t="str">
        <x:v>Bộ móng mua</x:v>
      </x:c>
      <x:c r="N5" s="8" t="str">
        <x:v>Quà tặng</x:v>
      </x:c>
      <x:c r="O5" s="8" t="str">
        <x:v>Tip (dòng)</x:v>
      </x:c>
      <x:c r="P5" s="8" t="str">
        <x:v>Tạo hoàn tiền</x:v>
      </x:c>
      <x:c r="Q5" s="8" t="str">
        <x:v>Hoàn thành công</x:v>
      </x:c>
      <x:c r="R5" s="8" t="str">
        <x:v>Mở / mốc đầu tiên</x:v>
      </x:c>
      <x:c r="S5" s="8" t="str">
        <x:v>Độ chính xác mốc mở</x:v>
      </x:c>
      <x:c r="T5" s="8" t="str">
        <x:v>Ngày thắng</x:v>
      </x:c>
      <x:c r="U5" s="8" t="str">
        <x:v>Việc cần làm</x:v>
      </x:c>
      <x:c r="V5" s="8" t="str">
        <x:v>Nguồn đơn</x:v>
      </x:c>
    </x:row>
    <x:row r="6" ht="56" customHeight="1">
      <x:c r="A6" s="4" t="str">
        <x:v>#HD4607-SPF</x:v>
      </x:c>
      <x:c r="B6" s="4" t="str">
        <x:v>Hoàn tiền trong kỳ</x:v>
      </x:c>
      <x:c r="C6" s="4" t="n">
        <x:v>1</x:v>
      </x:c>
      <x:c r="D6" s="4" t="str">
        <x:v>Kayla Collins</x:v>
      </x:c>
      <x:c r="E6" s="4" t="str">
        <x:v>Mới</x:v>
      </x:c>
      <x:c r="F6" s="4" t="n">
        <x:v>1</x:v>
      </x:c>
      <x:c r="G6" s="4" t="str">
        <x:v>REFUND</x:v>
      </x:c>
      <x:c r="H6" s="4" t="str">
        <x:v>PARTIALLY_REFUNDED</x:v>
      </x:c>
      <x:c r="I6" s="10" t="str">
        <x:v>Khách nhấn mua nhầm và yêu cầu hoàn tiền. Khách bảo là sẽ mua lại trong tương lai</x:v>
      </x:c>
      <x:c r="J6" s="12" t="n">
        <x:v>42.91</x:v>
      </x:c>
      <x:c r="K6" s="12" t="n">
        <x:v>41.91</x:v>
      </x:c>
      <x:c r="L6" s="12"/>
      <x:c r="M6" s="4" t="n">
        <x:v>1</x:v>
      </x:c>
      <x:c r="N6" s="4" t="n">
        <x:v>0</x:v>
      </x:c>
      <x:c r="O6" s="4" t="n">
        <x:v>1</x:v>
      </x:c>
      <x:c r="P6" s="14" t="n">
        <x:v>46296.88414351852</x:v>
      </x:c>
      <x:c r="Q6" s="14" t="n">
        <x:v>46297.88591435185</x:v>
      </x:c>
      <x:c r="R6" s="14"/>
      <x:c r="S6" s="4" t="str">
        <x:v>Không có ngày mở</x:v>
      </x:c>
      <x:c r="T6" s="14"/>
      <x:c r="U6" s="10" t="str">
        <x:v>Đã hoàn; còn lại $1 tip</x:v>
      </x:c>
      <x:c r="V6" s="4" t="str">
        <x:v>https://admin.shopify.com/store/handoranails/orders/18916004823136</x:v>
      </x:c>
    </x:row>
    <x:row r="7" ht="56" customHeight="1">
      <x:c r="A7" s="9" t="str">
        <x:v>#HD3910-SPF</x:v>
      </x:c>
      <x:c r="B7" s="9" t="str">
        <x:v>Hoàn tiền trong kỳ</x:v>
      </x:c>
      <x:c r="C7" s="9" t="n">
        <x:v>1</x:v>
      </x:c>
      <x:c r="D7" s="9" t="str">
        <x:v>Allison Holt</x:v>
      </x:c>
      <x:c r="E7" s="9" t="str">
        <x:v>Mới</x:v>
      </x:c>
      <x:c r="F7" s="9" t="n">
        <x:v>1</x:v>
      </x:c>
      <x:c r="G7" s="9" t="str">
        <x:v>REFUND</x:v>
      </x:c>
      <x:c r="H7" s="9" t="str">
        <x:v>REFUNDED</x:v>
      </x:c>
      <x:c r="I7" s="11" t="str">
        <x:v>Hơn 1 tháng mới ship đến nơi nên khách không cần nữa</x:v>
      </x:c>
      <x:c r="J7" s="13" t="n">
        <x:v>77.32</x:v>
      </x:c>
      <x:c r="K7" s="13" t="n">
        <x:v>77.32</x:v>
      </x:c>
      <x:c r="L7" s="13"/>
      <x:c r="M7" s="9" t="n">
        <x:v>2</x:v>
      </x:c>
      <x:c r="N7" s="9" t="n">
        <x:v>0</x:v>
      </x:c>
      <x:c r="O7" s="9" t="n">
        <x:v>0</x:v>
      </x:c>
      <x:c r="P7" s="15" t="n">
        <x:v>46301.99244212963</x:v>
      </x:c>
      <x:c r="Q7" s="15" t="n">
        <x:v>46301.992430555554</x:v>
      </x:c>
      <x:c r="R7" s="15"/>
      <x:c r="S7" s="9" t="str">
        <x:v>Không có ngày mở</x:v>
      </x:c>
      <x:c r="T7" s="15"/>
      <x:c r="U7" s="11" t="str">
        <x:v>Đối chiếu ghi chú giao chậm với tracking</x:v>
      </x:c>
      <x:c r="V7" s="9" t="str">
        <x:v>https://admin.shopify.com/store/handoranails/orders/6649679020128</x:v>
      </x:c>
    </x:row>
    <x:row r="8" ht="56" customHeight="1">
      <x:c r="A8" s="4" t="str">
        <x:v>#HD4072-SPF</x:v>
      </x:c>
      <x:c r="B8" s="4" t="str">
        <x:v>Hoàn tiền trong kỳ</x:v>
      </x:c>
      <x:c r="C8" s="4" t="n">
        <x:v>1</x:v>
      </x:c>
      <x:c r="D8" s="4" t="str">
        <x:v>Kylie Julian</x:v>
      </x:c>
      <x:c r="E8" s="4" t="str">
        <x:v>Mới</x:v>
      </x:c>
      <x:c r="F8" s="4" t="n">
        <x:v>1</x:v>
      </x:c>
      <x:c r="G8" s="4" t="str">
        <x:v>REFUND</x:v>
      </x:c>
      <x:c r="H8" s="4" t="str">
        <x:v>REFUNDED</x:v>
      </x:c>
      <x:c r="I8" s="10" t="str">
        <x:v>Thất lạc</x:v>
      </x:c>
      <x:c r="J8" s="12" t="n">
        <x:v>118.85</x:v>
      </x:c>
      <x:c r="K8" s="12" t="n">
        <x:v>118.85</x:v>
      </x:c>
      <x:c r="L8" s="12"/>
      <x:c r="M8" s="4" t="n">
        <x:v>5</x:v>
      </x:c>
      <x:c r="N8" s="4" t="n">
        <x:v>2</x:v>
      </x:c>
      <x:c r="O8" s="4" t="n">
        <x:v>0</x:v>
      </x:c>
      <x:c r="P8" s="14" t="n">
        <x:v>46302.788194444445</x:v>
      </x:c>
      <x:c r="Q8" s="14" t="n">
        <x:v>46302.788194444445</x:v>
      </x:c>
      <x:c r="R8" s="14"/>
      <x:c r="S8" s="4" t="str">
        <x:v>Không có ngày mở</x:v>
      </x:c>
      <x:c r="T8" s="14"/>
      <x:c r="U8" s="10" t="str">
        <x:v>Đối chiếu tracking thất lạc</x:v>
      </x:c>
      <x:c r="V8" s="4" t="str">
        <x:v>https://admin.shopify.com/store/handoranails/orders/6659729981536</x:v>
      </x:c>
    </x:row>
    <x:row r="9" ht="56" customHeight="1">
      <x:c r="A9" s="9" t="str">
        <x:v>#HD4324-SPF</x:v>
      </x:c>
      <x:c r="B9" s="9" t="str">
        <x:v>Tranh chấp mới</x:v>
      </x:c>
      <x:c r="C9" s="9" t="n">
        <x:v>1</x:v>
      </x:c>
      <x:c r="D9" s="9" t="str">
        <x:v>Summer C johnson</x:v>
      </x:c>
      <x:c r="E9" s="9" t="str">
        <x:v>Mới</x:v>
      </x:c>
      <x:c r="F9" s="9" t="n">
        <x:v>1</x:v>
      </x:c>
      <x:c r="G9" s="9" t="str">
        <x:v>CHARGEBACK</x:v>
      </x:c>
      <x:c r="H9" s="9" t="str">
        <x:v>NEEDS_RESPONSE</x:v>
      </x:c>
      <x:c r="I9" s="11" t="str">
        <x:v>Chưa đọc được lý do tranh chấp</x:v>
      </x:c>
      <x:c r="J9" s="13" t="n">
        <x:v>73.85</x:v>
      </x:c>
      <x:c r="K9" s="13"/>
      <x:c r="L9" s="13" t="n">
        <x:v>73.85</x:v>
      </x:c>
      <x:c r="M9" s="9" t="n">
        <x:v>3</x:v>
      </x:c>
      <x:c r="N9" s="9" t="n">
        <x:v>1</x:v>
      </x:c>
      <x:c r="O9" s="9" t="n">
        <x:v>0</x:v>
      </x:c>
      <x:c r="P9" s="15"/>
      <x:c r="Q9" s="15"/>
      <x:c r="R9" s="15" t="n">
        <x:v>46298.23800925926</x:v>
      </x:c>
      <x:c r="S9" s="9" t="str">
        <x:v>Ngày mở trực tiếp từ event</x:v>
      </x:c>
      <x:c r="T9" s="15"/>
      <x:c r="U9" s="11" t="str">
        <x:v>Cần phản hồi và kiểm tra hạn bằng chứng</x:v>
      </x:c>
      <x:c r="V9" s="9" t="str">
        <x:v>https://admin.shopify.com/store/handoranails/orders/6679440425056</x:v>
      </x:c>
    </x:row>
    <x:row r="10" ht="56" customHeight="1">
      <x:c r="A10" s="4" t="str">
        <x:v>#HD4359-SPF</x:v>
      </x:c>
      <x:c r="B10" s="4" t="str">
        <x:v>Tranh chấp mới</x:v>
      </x:c>
      <x:c r="C10" s="4" t="n">
        <x:v>1</x:v>
      </x:c>
      <x:c r="D10" s="4" t="str">
        <x:v>Reya Prathoumthong</x:v>
      </x:c>
      <x:c r="E10" s="4" t="str">
        <x:v>Mới</x:v>
      </x:c>
      <x:c r="F10" s="4" t="n">
        <x:v>1</x:v>
      </x:c>
      <x:c r="G10" s="4" t="str">
        <x:v>CHARGEBACK</x:v>
      </x:c>
      <x:c r="H10" s="4" t="str">
        <x:v>NEEDS_RESPONSE</x:v>
      </x:c>
      <x:c r="I10" s="10" t="str">
        <x:v>Chưa đọc được lý do tranh chấp</x:v>
      </x:c>
      <x:c r="J10" s="12" t="n">
        <x:v>30.9</x:v>
      </x:c>
      <x:c r="K10" s="12"/>
      <x:c r="L10" s="12" t="n">
        <x:v>45.9</x:v>
      </x:c>
      <x:c r="M10" s="4" t="n">
        <x:v>1</x:v>
      </x:c>
      <x:c r="N10" s="4" t="n">
        <x:v>0</x:v>
      </x:c>
      <x:c r="O10" s="4" t="n">
        <x:v>0</x:v>
      </x:c>
      <x:c r="P10" s="14"/>
      <x:c r="Q10" s="14"/>
      <x:c r="R10" s="14" t="n">
        <x:v>46304.25085648148</x:v>
      </x:c>
      <x:c r="S10" s="4" t="str">
        <x:v>Mốc trừ tiền đầu tiên; chưa xác nhận ngày mở</x:v>
      </x:c>
      <x:c r="T10" s="14"/>
      <x:c r="U10" s="10" t="str">
        <x:v>Cần phản hồi và kiểm tra hạn bằng chứng</x:v>
      </x:c>
      <x:c r="V10" s="4" t="str">
        <x:v>https://admin.shopify.com/store/handoranails/orders/6681731268704</x:v>
      </x:c>
    </x:row>
    <x:row r="11" ht="56" customHeight="1">
      <x:c r="A11" s="9" t="str">
        <x:v>#HD4452-SPF</x:v>
      </x:c>
      <x:c r="B11" s="9" t="str">
        <x:v>Tranh chấp mới</x:v>
      </x:c>
      <x:c r="C11" s="9" t="n">
        <x:v>1</x:v>
      </x:c>
      <x:c r="D11" s="9" t="str">
        <x:v>ivonne macewen</x:v>
      </x:c>
      <x:c r="E11" s="9" t="str">
        <x:v>Mới</x:v>
      </x:c>
      <x:c r="F11" s="9" t="n">
        <x:v>1</x:v>
      </x:c>
      <x:c r="G11" s="9" t="str">
        <x:v>INQUIRY</x:v>
      </x:c>
      <x:c r="H11" s="9" t="str">
        <x:v>NEEDS_RESPONSE</x:v>
      </x:c>
      <x:c r="I11" s="11" t="str">
        <x:v>Chưa đọc được lý do tranh chấp</x:v>
      </x:c>
      <x:c r="J11" s="13" t="n">
        <x:v>56.52</x:v>
      </x:c>
      <x:c r="K11" s="13"/>
      <x:c r="L11" s="13" t="n">
        <x:v>54.63</x:v>
      </x:c>
      <x:c r="M11" s="9" t="n">
        <x:v>2</x:v>
      </x:c>
      <x:c r="N11" s="9" t="n">
        <x:v>0</x:v>
      </x:c>
      <x:c r="O11" s="9" t="n">
        <x:v>0</x:v>
      </x:c>
      <x:c r="P11" s="15"/>
      <x:c r="Q11" s="15"/>
      <x:c r="R11" s="15" t="n">
        <x:v>46305.867986111116</x:v>
      </x:c>
      <x:c r="S11" s="9" t="str">
        <x:v>Ngày mở trực tiếp từ event</x:v>
      </x:c>
      <x:c r="T11" s="15"/>
      <x:c r="U11" s="11" t="str">
        <x:v>Cần phản hồi và kiểm tra hạn bằng chứng</x:v>
      </x:c>
      <x:c r="V11" s="9" t="str">
        <x:v>https://admin.shopify.com/store/handoranails/orders/7183824486496</x:v>
      </x:c>
    </x:row>
    <x:row r="12" ht="56" customHeight="1">
      <x:c r="A12" s="4" t="str">
        <x:v>#HD3751-SPF</x:v>
      </x:c>
      <x:c r="B12" s="4" t="str">
        <x:v>Thắng trong kỳ</x:v>
      </x:c>
      <x:c r="C12" s="4" t="n">
        <x:v>0</x:v>
      </x:c>
      <x:c r="D12" s="4" t="str">
        <x:v>Mikaila Washburn</x:v>
      </x:c>
      <x:c r="E12" s="4" t="str">
        <x:v>Mới</x:v>
      </x:c>
      <x:c r="F12" s="4" t="n">
        <x:v>1</x:v>
      </x:c>
      <x:c r="G12" s="4" t="str">
        <x:v>CHARGEBACK</x:v>
      </x:c>
      <x:c r="H12" s="4" t="str">
        <x:v>WON</x:v>
      </x:c>
      <x:c r="I12" s="10" t="str">
        <x:v>Chưa đọc được lý do tranh chấp</x:v>
      </x:c>
      <x:c r="J12" s="12" t="n">
        <x:v>133.4</x:v>
      </x:c>
      <x:c r="K12" s="12"/>
      <x:c r="L12" s="12" t="n">
        <x:v>148.4</x:v>
      </x:c>
      <x:c r="M12" s="4" t="n">
        <x:v>6</x:v>
      </x:c>
      <x:c r="N12" s="4" t="n">
        <x:v>2</x:v>
      </x:c>
      <x:c r="O12" s="4" t="n">
        <x:v>0</x:v>
      </x:c>
      <x:c r="P12" s="14"/>
      <x:c r="Q12" s="14"/>
      <x:c r="R12" s="14" t="n">
        <x:v>46291.822384259256</x:v>
      </x:c>
      <x:c r="S12" s="4" t="str">
        <x:v>Mốc trừ tiền đầu tiên; chưa xác nhận ngày mở</x:v>
      </x:c>
      <x:c r="T12" s="14" t="n">
        <x:v>46296.84893518519</x:v>
      </x:c>
      <x:c r="U12" s="10" t="str">
        <x:v>Theo dõi khoản hoàn về payout</x:v>
      </x:c>
      <x:c r="V12" s="4" t="str">
        <x:v>https://admin.shopify.com/store/handoranails/orders/6640757735520</x:v>
      </x:c>
    </x:row>
    <x:row r="13" ht="56" customHeight="1">
      <x:c r="A13" s="9" t="str">
        <x:v>#HD3754-SPF</x:v>
      </x:c>
      <x:c r="B13" s="9" t="str">
        <x:v>Thắng trong kỳ</x:v>
      </x:c>
      <x:c r="C13" s="9" t="n">
        <x:v>0</x:v>
      </x:c>
      <x:c r="D13" s="9" t="str">
        <x:v>LaShay Allen</x:v>
      </x:c>
      <x:c r="E13" s="9" t="str">
        <x:v>Mới</x:v>
      </x:c>
      <x:c r="F13" s="9" t="n">
        <x:v>1</x:v>
      </x:c>
      <x:c r="G13" s="9" t="str">
        <x:v>CHARGEBACK</x:v>
      </x:c>
      <x:c r="H13" s="9" t="str">
        <x:v>WON</x:v>
      </x:c>
      <x:c r="I13" s="11" t="str">
        <x:v>Chưa đọc được lý do tranh chấp</x:v>
      </x:c>
      <x:c r="J13" s="13" t="n">
        <x:v>62.58</x:v>
      </x:c>
      <x:c r="K13" s="13"/>
      <x:c r="L13" s="13" t="n">
        <x:v>62.58</x:v>
      </x:c>
      <x:c r="M13" s="9" t="n">
        <x:v>2</x:v>
      </x:c>
      <x:c r="N13" s="9" t="n">
        <x:v>0</x:v>
      </x:c>
      <x:c r="O13" s="9" t="n">
        <x:v>0</x:v>
      </x:c>
      <x:c r="P13" s="15"/>
      <x:c r="Q13" s="15"/>
      <x:c r="R13" s="15" t="n">
        <x:v>46286.266539351855</x:v>
      </x:c>
      <x:c r="S13" s="9" t="str">
        <x:v>Ngày mở trực tiếp từ event</x:v>
      </x:c>
      <x:c r="T13" s="15" t="n">
        <x:v>46297.51263888889</x:v>
      </x:c>
      <x:c r="U13" s="11" t="str">
        <x:v>Theo dõi khoản hoàn về payout</x:v>
      </x:c>
      <x:c r="V13" s="9" t="str">
        <x:v>https://admin.shopify.com/store/handoranails/orders/6640906109024</x:v>
      </x:c>
    </x:row>
    <x:row r="14" ht="56" customHeight="1">
      <x:c r="A14" s="4" t="str">
        <x:v>#HD3201-SPF</x:v>
      </x:c>
      <x:c r="B14" s="4" t="str">
        <x:v>Tồn đọng trước kỳ</x:v>
      </x:c>
      <x:c r="C14" s="4" t="n">
        <x:v>0</x:v>
      </x:c>
      <x:c r="D14" s="4" t="str">
        <x:v>Yaima Betancourt</x:v>
      </x:c>
      <x:c r="E14" s="4" t="str">
        <x:v>Mới</x:v>
      </x:c>
      <x:c r="F14" s="4" t="n">
        <x:v>1</x:v>
      </x:c>
      <x:c r="G14" s="4" t="str">
        <x:v>CHARGEBACK</x:v>
      </x:c>
      <x:c r="H14" s="4" t="str">
        <x:v>UNDER_REVIEW</x:v>
      </x:c>
      <x:c r="I14" s="10" t="str">
        <x:v>Chưa đọc được lý do tranh chấp</x:v>
      </x:c>
      <x:c r="J14" s="12" t="n">
        <x:v>103.73</x:v>
      </x:c>
      <x:c r="K14" s="12"/>
      <x:c r="L14" s="12" t="n">
        <x:v>106.21</x:v>
      </x:c>
      <x:c r="M14" s="4" t="n">
        <x:v>7</x:v>
      </x:c>
      <x:c r="N14" s="4" t="n">
        <x:v>2</x:v>
      </x:c>
      <x:c r="O14" s="4" t="n">
        <x:v>0</x:v>
      </x:c>
      <x:c r="P14" s="14"/>
      <x:c r="Q14" s="14"/>
      <x:c r="R14" s="14" t="n">
        <x:v>46268.940520833334</x:v>
      </x:c>
      <x:c r="S14" s="4" t="str">
        <x:v>Ngày mở trực tiếp từ event</x:v>
      </x:c>
      <x:c r="T14" s="14"/>
      <x:c r="U14" s="10" t="str">
        <x:v>Chờ ngân hàng; theo dõi kết quả</x:v>
      </x:c>
      <x:c r="V14" s="4" t="str">
        <x:v>https://admin.shopify.com/store/handoranails/orders/6609106468960</x:v>
      </x:c>
    </x:row>
    <x:row r="15" ht="56" customHeight="1">
      <x:c r="A15" s="9" t="str">
        <x:v>#HD3361-SPF</x:v>
      </x:c>
      <x:c r="B15" s="9" t="str">
        <x:v>Tồn đọng trước kỳ</x:v>
      </x:c>
      <x:c r="C15" s="9" t="n">
        <x:v>0</x:v>
      </x:c>
      <x:c r="D15" s="9" t="str">
        <x:v>Marie Citino</x:v>
      </x:c>
      <x:c r="E15" s="9" t="str">
        <x:v>Mới</x:v>
      </x:c>
      <x:c r="F15" s="9" t="n">
        <x:v>5</x:v>
      </x:c>
      <x:c r="G15" s="9" t="str">
        <x:v>CHARGEBACK</x:v>
      </x:c>
      <x:c r="H15" s="9" t="str">
        <x:v>UNDER_REVIEW</x:v>
      </x:c>
      <x:c r="I15" s="11" t="str">
        <x:v>Chưa đọc được lý do tranh chấp</x:v>
      </x:c>
      <x:c r="J15" s="13" t="n">
        <x:v>41.91</x:v>
      </x:c>
      <x:c r="K15" s="13"/>
      <x:c r="L15" s="13" t="n">
        <x:v>56.91</x:v>
      </x:c>
      <x:c r="M15" s="9" t="n">
        <x:v>1</x:v>
      </x:c>
      <x:c r="N15" s="9" t="n">
        <x:v>0</x:v>
      </x:c>
      <x:c r="O15" s="9" t="n">
        <x:v>0</x:v>
      </x:c>
      <x:c r="P15" s="15"/>
      <x:c r="Q15" s="15"/>
      <x:c r="R15" s="15" t="n">
        <x:v>46286.44019675926</x:v>
      </x:c>
      <x:c r="S15" s="9" t="str">
        <x:v>Mốc trừ tiền đầu tiên; chưa xác nhận ngày mở</x:v>
      </x:c>
      <x:c r="T15" s="15"/>
      <x:c r="U15" s="11" t="str">
        <x:v>Chờ ngân hàng; theo dõi kết quả</x:v>
      </x:c>
      <x:c r="V15" s="9" t="str">
        <x:v>https://admin.shopify.com/store/handoranails/orders/6619441070176</x:v>
      </x:c>
    </x:row>
    <x:row r="16" ht="56" customHeight="1">
      <x:c r="A16" s="4" t="str">
        <x:v>#HD3495-SPF</x:v>
      </x:c>
      <x:c r="B16" s="4" t="str">
        <x:v>Tồn đọng trước kỳ</x:v>
      </x:c>
      <x:c r="C16" s="4" t="n">
        <x:v>0</x:v>
      </x:c>
      <x:c r="D16" s="4" t="str">
        <x:v>Marie Citino</x:v>
      </x:c>
      <x:c r="E16" s="4" t="str">
        <x:v>Cũ</x:v>
      </x:c>
      <x:c r="F16" s="4" t="n">
        <x:v>5</x:v>
      </x:c>
      <x:c r="G16" s="4" t="str">
        <x:v>CHARGEBACK</x:v>
      </x:c>
      <x:c r="H16" s="4" t="str">
        <x:v>UNDER_REVIEW</x:v>
      </x:c>
      <x:c r="I16" s="10" t="str">
        <x:v>Chưa đọc được lý do tranh chấp</x:v>
      </x:c>
      <x:c r="J16" s="12" t="n">
        <x:v>35.9</x:v>
      </x:c>
      <x:c r="K16" s="12"/>
      <x:c r="L16" s="12" t="n">
        <x:v>50.9</x:v>
      </x:c>
      <x:c r="M16" s="4" t="n">
        <x:v>1</x:v>
      </x:c>
      <x:c r="N16" s="4" t="n">
        <x:v>0</x:v>
      </x:c>
      <x:c r="O16" s="4" t="n">
        <x:v>0</x:v>
      </x:c>
      <x:c r="P16" s="14"/>
      <x:c r="Q16" s="14"/>
      <x:c r="R16" s="14" t="n">
        <x:v>46286.88260416666</x:v>
      </x:c>
      <x:c r="S16" s="4" t="str">
        <x:v>Mốc trừ tiền đầu tiên; chưa xác nhận ngày mở</x:v>
      </x:c>
      <x:c r="T16" s="14"/>
      <x:c r="U16" s="10" t="str">
        <x:v>Chờ ngân hàng; theo dõi kết quả</x:v>
      </x:c>
      <x:c r="V16" s="4" t="str">
        <x:v>https://admin.shopify.com/store/handoranails/orders/6626362327136</x:v>
      </x:c>
    </x:row>
    <x:row r="17" ht="56" customHeight="1">
      <x:c r="A17" s="9" t="str">
        <x:v>#HD3571-SPF</x:v>
      </x:c>
      <x:c r="B17" s="9" t="str">
        <x:v>Tồn đọng trước kỳ</x:v>
      </x:c>
      <x:c r="C17" s="9" t="n">
        <x:v>0</x:v>
      </x:c>
      <x:c r="D17" s="9" t="str">
        <x:v>Candice Arnink</x:v>
      </x:c>
      <x:c r="E17" s="9" t="str">
        <x:v>Mới</x:v>
      </x:c>
      <x:c r="F17" s="9" t="n">
        <x:v>1</x:v>
      </x:c>
      <x:c r="G17" s="9" t="str">
        <x:v>CHARGEBACK</x:v>
      </x:c>
      <x:c r="H17" s="9" t="str">
        <x:v>UNDER_REVIEW</x:v>
      </x:c>
      <x:c r="I17" s="11" t="str">
        <x:v>Chưa đọc được lý do tranh chấp</x:v>
      </x:c>
      <x:c r="J17" s="13" t="n">
        <x:v>37.41</x:v>
      </x:c>
      <x:c r="K17" s="13"/>
      <x:c r="L17" s="13" t="n">
        <x:v>52.41</x:v>
      </x:c>
      <x:c r="M17" s="9" t="n">
        <x:v>1</x:v>
      </x:c>
      <x:c r="N17" s="9" t="n">
        <x:v>0</x:v>
      </x:c>
      <x:c r="O17" s="9" t="n">
        <x:v>0</x:v>
      </x:c>
      <x:c r="P17" s="15"/>
      <x:c r="Q17" s="15"/>
      <x:c r="R17" s="15" t="n">
        <x:v>46288.64579861111</x:v>
      </x:c>
      <x:c r="S17" s="9" t="str">
        <x:v>Ngày mở trực tiếp từ event</x:v>
      </x:c>
      <x:c r="T17" s="15"/>
      <x:c r="U17" s="11" t="str">
        <x:v>Chờ ngân hàng; theo dõi kết quả</x:v>
      </x:c>
      <x:c r="V17" s="9" t="str">
        <x:v>https://admin.shopify.com/store/handoranails/orders/6630611615840</x:v>
      </x:c>
    </x:row>
    <x:row r="18" ht="56" customHeight="1">
      <x:c r="A18" s="4" t="str">
        <x:v>#HD3828-SPF</x:v>
      </x:c>
      <x:c r="B18" s="4" t="str">
        <x:v>Tồn đọng trước kỳ</x:v>
      </x:c>
      <x:c r="C18" s="4" t="n">
        <x:v>0</x:v>
      </x:c>
      <x:c r="D18" s="4" t="str">
        <x:v>Samantha Smith</x:v>
      </x:c>
      <x:c r="E18" s="4" t="str">
        <x:v>Mới</x:v>
      </x:c>
      <x:c r="F18" s="4" t="n">
        <x:v>1</x:v>
      </x:c>
      <x:c r="G18" s="4" t="str">
        <x:v>CHARGEBACK</x:v>
      </x:c>
      <x:c r="H18" s="4" t="str">
        <x:v>UNDER_REVIEW</x:v>
      </x:c>
      <x:c r="I18" s="10" t="str">
        <x:v>Chưa đọc được lý do tranh chấp</x:v>
      </x:c>
      <x:c r="J18" s="12" t="n">
        <x:v>29.91</x:v>
      </x:c>
      <x:c r="K18" s="12"/>
      <x:c r="L18" s="12" t="n">
        <x:v>44.91</x:v>
      </x:c>
      <x:c r="M18" s="4" t="n">
        <x:v>1</x:v>
      </x:c>
      <x:c r="N18" s="4" t="n">
        <x:v>0</x:v>
      </x:c>
      <x:c r="O18" s="4" t="n">
        <x:v>0</x:v>
      </x:c>
      <x:c r="P18" s="14"/>
      <x:c r="Q18" s="14"/>
      <x:c r="R18" s="14" t="n">
        <x:v>46289.72445601852</x:v>
      </x:c>
      <x:c r="S18" s="4" t="str">
        <x:v>Mốc trừ tiền đầu tiên; chưa xác nhận ngày mở</x:v>
      </x:c>
      <x:c r="T18" s="14"/>
      <x:c r="U18" s="10" t="str">
        <x:v>Chờ ngân hàng; theo dõi kết quả</x:v>
      </x:c>
      <x:c r="V18" s="4" t="str">
        <x:v>https://admin.shopify.com/store/handoranails/orders/6646415130720</x:v>
      </x:c>
    </x:row>
    <x:row r="19" ht="56" customHeight="1">
      <x:c r="A19" s="9" t="str">
        <x:v>#HD3862-SPF</x:v>
      </x:c>
      <x:c r="B19" s="9" t="str">
        <x:v>Tồn đọng trước kỳ</x:v>
      </x:c>
      <x:c r="C19" s="9" t="n">
        <x:v>0</x:v>
      </x:c>
      <x:c r="D19" s="9" t="str">
        <x:v>Lily Xu</x:v>
      </x:c>
      <x:c r="E19" s="9" t="str">
        <x:v>Mới</x:v>
      </x:c>
      <x:c r="F19" s="9" t="n">
        <x:v>1</x:v>
      </x:c>
      <x:c r="G19" s="9" t="str">
        <x:v>CHARGEBACK</x:v>
      </x:c>
      <x:c r="H19" s="9" t="str">
        <x:v>UNDER_REVIEW</x:v>
      </x:c>
      <x:c r="I19" s="11" t="str">
        <x:v>Chưa đọc được lý do tranh chấp</x:v>
      </x:c>
      <x:c r="J19" s="13" t="n">
        <x:v>157.32</x:v>
      </x:c>
      <x:c r="K19" s="13"/>
      <x:c r="L19" s="13" t="n">
        <x:v>171.63</x:v>
      </x:c>
      <x:c r="M19" s="9" t="n">
        <x:v>7</x:v>
      </x:c>
      <x:c r="N19" s="9" t="n">
        <x:v>2</x:v>
      </x:c>
      <x:c r="O19" s="9" t="n">
        <x:v>0</x:v>
      </x:c>
      <x:c r="P19" s="15"/>
      <x:c r="Q19" s="15"/>
      <x:c r="R19" s="15" t="n">
        <x:v>46285.02802083333</x:v>
      </x:c>
      <x:c r="S19" s="9" t="str">
        <x:v>Ngày mở trực tiếp từ event</x:v>
      </x:c>
      <x:c r="T19" s="15"/>
      <x:c r="U19" s="11" t="str">
        <x:v>Chờ ngân hàng; theo dõi kết quả</x:v>
      </x:c>
      <x:c r="V19" s="9" t="str">
        <x:v>https://admin.shopify.com/store/handoranails/orders/6647922851936</x:v>
      </x:c>
    </x:row>
    <x:row r="20" ht="56" customHeight="1">
      <x:c r="A20" s="4" t="str">
        <x:v>#HD4059-SPF</x:v>
      </x:c>
      <x:c r="B20" s="4" t="str">
        <x:v>Tồn đọng trước kỳ</x:v>
      </x:c>
      <x:c r="C20" s="4" t="n">
        <x:v>0</x:v>
      </x:c>
      <x:c r="D20" s="4" t="str">
        <x:v>Lindsey Romberger</x:v>
      </x:c>
      <x:c r="E20" s="4" t="str">
        <x:v>Mới</x:v>
      </x:c>
      <x:c r="F20" s="4" t="n">
        <x:v>2</x:v>
      </x:c>
      <x:c r="G20" s="4" t="str">
        <x:v>CHARGEBACK</x:v>
      </x:c>
      <x:c r="H20" s="4" t="str">
        <x:v>UNDER_REVIEW</x:v>
      </x:c>
      <x:c r="I20" s="10" t="str">
        <x:v>Chưa đọc được lý do tranh chấp</x:v>
      </x:c>
      <x:c r="J20" s="12" t="n">
        <x:v>110.12</x:v>
      </x:c>
      <x:c r="K20" s="12"/>
      <x:c r="L20" s="12" t="n">
        <x:v>125.12</x:v>
      </x:c>
      <x:c r="M20" s="4" t="n">
        <x:v>5</x:v>
      </x:c>
      <x:c r="N20" s="4" t="n">
        <x:v>2</x:v>
      </x:c>
      <x:c r="O20" s="4" t="n">
        <x:v>0</x:v>
      </x:c>
      <x:c r="P20" s="14"/>
      <x:c r="Q20" s="14"/>
      <x:c r="R20" s="14" t="n">
        <x:v>46293.850023148145</x:v>
      </x:c>
      <x:c r="S20" s="4" t="str">
        <x:v>Mốc trừ tiền đầu tiên; chưa xác nhận ngày mở</x:v>
      </x:c>
      <x:c r="T20" s="14"/>
      <x:c r="U20" s="10" t="str">
        <x:v>Chờ ngân hàng; theo dõi kết quả</x:v>
      </x:c>
      <x:c r="V20" s="4" t="str">
        <x:v>https://admin.shopify.com/store/handoranails/orders/6659066167392</x:v>
      </x:c>
    </x:row>
  </x:sheetData>
  <x:conditionalFormatting sqref="H6:H20">
    <x:cfRule type="containsText" dxfId="0" priority="1" operator="containsText" text="NEEDS_RESPONSE"/>
  </x:conditionalFormatting>
  <x:pageMargins left="0.7" right="0.7" top="0.75" bottom="0.75" header="0.3" footer="0.3"/>
  <x:tableParts count="1">
    <x:tablePart xmlns:r="http://schemas.openxmlformats.org/officeDocument/2006/relationships" r:id="Rdfa1a64fd70e4f6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23" hidden="0" customWidth="1"/>
    <x:col min="4" max="4" width="25" hidden="0" customWidth="1"/>
    <x:col min="5" max="5" width="23" hidden="0" customWidth="1"/>
    <x:col min="6" max="6" width="25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36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32" hidden="0" customWidth="1"/>
    <x:col min="19" max="19" width="100" hidden="0" customWidth="1"/>
  </x:cols>
  <x:sheetData>
    <x:row r="2">
      <x:c r="A2" s="1" t="str">
        <x:v>Hành trình từng khách hàng</x:v>
      </x:c>
    </x:row>
    <x:row r="3">
      <x:c r="A3" s="2" t="str">
        <x:v>Mốc ngày: America/Los_Angeles (PDT, UTC−7). Giá trị: USD. Cập nhật 12/10/2026 10:09 UTC+7.</x:v>
      </x:c>
    </x:row>
    <x:row r="5" ht="42" customHeight="1">
      <x:c r="A5" s="8" t="str">
        <x:v>Đơn</x:v>
      </x:c>
      <x:c r="B5" s="8" t="str">
        <x:v>Nhóm báo cáo</x:v>
      </x:c>
      <x:c r="C5" s="8" t="str">
        <x:v>Lần xem đầu</x:v>
      </x:c>
      <x:c r="D5" s="8" t="str">
        <x:v>Nguồn đầu</x:v>
      </x:c>
      <x:c r="E5" s="8" t="str">
        <x:v>Lần xem cuối</x:v>
      </x:c>
      <x:c r="F5" s="8" t="str">
        <x:v>Nguồn cuối</x:v>
      </x:c>
      <x:c r="G5" s="8" t="str">
        <x:v>Ngày mua</x:v>
      </x:c>
      <x:c r="H5" s="8" t="str">
        <x:v>Tạo fulfillment</x:v>
      </x:c>
      <x:c r="I5" s="8" t="str">
        <x:v>Bắt đầu vận chuyển</x:v>
      </x:c>
      <x:c r="J5" s="8" t="str">
        <x:v>Ngày nhận tracking</x:v>
      </x:c>
      <x:c r="K5" s="8" t="str">
        <x:v>Ngày yêu cầu qua CS</x:v>
      </x:c>
      <x:c r="L5" s="8" t="str">
        <x:v>Tạo hoàn tiền</x:v>
      </x:c>
      <x:c r="M5" s="8" t="str">
        <x:v>Hoàn thành công</x:v>
      </x:c>
      <x:c r="N5" s="8" t="str">
        <x:v>Mở / mốc tranh chấp</x:v>
      </x:c>
      <x:c r="O5" s="8" t="str">
        <x:v>Ngày thắng</x:v>
      </x:c>
      <x:c r="P5" s="8" t="str">
        <x:v>Mua đến nhận (ngày)</x:v>
      </x:c>
      <x:c r="Q5" s="8" t="str">
        <x:v>Mua đến hoàn (ngày)</x:v>
      </x:c>
      <x:c r="R5" s="8" t="str">
        <x:v>Trạng thái giao</x:v>
      </x:c>
      <x:c r="S5" s="8" t="str">
        <x:v>Trang vào đầu</x:v>
      </x:c>
    </x:row>
    <x:row r="6" ht="32" customHeight="1">
      <x:c r="A6" s="4" t="str">
        <x:v>#HD4607-SPF</x:v>
      </x:c>
      <x:c r="B6" s="4" t="str">
        <x:v>Hoàn tiền trong kỳ</x:v>
      </x:c>
      <x:c r="C6" s="14" t="n">
        <x:v>46296.34358796296</x:v>
      </x:c>
      <x:c r="D6" s="4" t="str">
        <x:v>ChatGPT</x:v>
      </x:c>
      <x:c r="E6" s="14" t="n">
        <x:v>46296.34358796296</x:v>
      </x:c>
      <x:c r="F6" s="4" t="str">
        <x:v>ChatGPT</x:v>
      </x:c>
      <x:c r="G6" s="14" t="n">
        <x:v>46296.36480324074</x:v>
      </x:c>
      <x:c r="H6" s="14"/>
      <x:c r="I6" s="14"/>
      <x:c r="J6" s="14"/>
      <x:c r="K6" s="4" t="str">
        <x:v>Chưa có email/chat để xác nhận</x:v>
      </x:c>
      <x:c r="L6" s="14" t="n">
        <x:v>46296.88414351852</x:v>
      </x:c>
      <x:c r="M6" s="14" t="n">
        <x:v>46297.88591435185</x:v>
      </x:c>
      <x:c r="N6" s="14"/>
      <x:c r="O6" s="14"/>
      <x:c r="P6" s="16" t="str">
        <x:f>IF(ISNUMBER(J6),J6-G6,"n.a.")</x:f>
        <x:v>n.a.</x:v>
      </x:c>
      <x:c r="Q6" s="16" t="n">
        <x:f>IF(ISNUMBER(M6),M6-G6,"n.a.")</x:f>
        <x:v>1.5211111111129867</x:v>
      </x:c>
      <x:c r="R6" s="4" t="str">
        <x:v>Chưa fulfillment</x:v>
      </x:c>
      <x:c r="S6" s="4" t="str">
        <x:v>https://handoranails.com/collections/halloween-nails</x:v>
      </x:c>
    </x:row>
    <x:row r="7" ht="32" customHeight="1">
      <x:c r="A7" s="9" t="str">
        <x:v>#HD3910-SPF</x:v>
      </x:c>
      <x:c r="B7" s="9" t="str">
        <x:v>Hoàn tiền trong kỳ</x:v>
      </x:c>
      <x:c r="C7" s="15" t="n">
        <x:v>46267.72090277778</x:v>
      </x:c>
      <x:c r="D7" s="9" t="str">
        <x:v>an unknown source</x:v>
      </x:c>
      <x:c r="E7" s="15" t="n">
        <x:v>46270.59636574074</x:v>
      </x:c>
      <x:c r="F7" s="9" t="str">
        <x:v>direct</x:v>
      </x:c>
      <x:c r="G7" s="15" t="n">
        <x:v>46270.597858796296</x:v>
      </x:c>
      <x:c r="H7" s="15" t="n">
        <x:v>46272.60072916667</x:v>
      </x:c>
      <x:c r="I7" s="15" t="n">
        <x:v>46291.240277777775</x:v>
      </x:c>
      <x:c r="J7" s="15" t="n">
        <x:v>46294.410416666666</x:v>
      </x:c>
      <x:c r="K7" s="9" t="str">
        <x:v>Chưa có email/chat để xác nhận</x:v>
      </x:c>
      <x:c r="L7" s="15" t="n">
        <x:v>46301.99244212963</x:v>
      </x:c>
      <x:c r="M7" s="15" t="n">
        <x:v>46301.992430555554</x:v>
      </x:c>
      <x:c r="N7" s="15"/>
      <x:c r="O7" s="15"/>
      <x:c r="P7" s="17" t="n">
        <x:f>IF(ISNUMBER(J7),J7-G7,"n.a.")</x:f>
        <x:v>23.812557870369346</x:v>
      </x:c>
      <x:c r="Q7" s="17" t="n">
        <x:f>IF(ISNUMBER(M7),M7-G7,"n.a.")</x:f>
        <x:v>31.394571759257815</x:v>
      </x:c>
      <x:c r="R7" s="9" t="str">
        <x:v>DELIVERED</x:v>
      </x:c>
      <x:c r="S7" s="9" t="str">
        <x:v>https://handoranails.com/products/silent-scream-slasher-horror-press-on-nails</x:v>
      </x:c>
    </x:row>
    <x:row r="8" ht="32" customHeight="1">
      <x:c r="A8" s="4" t="str">
        <x:v>#HD4072-SPF</x:v>
      </x:c>
      <x:c r="B8" s="4" t="str">
        <x:v>Hoàn tiền trong kỳ</x:v>
      </x:c>
      <x:c r="C8" s="14" t="n">
        <x:v>46269.72961805556</x:v>
      </x:c>
      <x:c r="D8" s="4" t="str">
        <x:v>Facebook</x:v>
      </x:c>
      <x:c r="E8" s="14" t="n">
        <x:v>46275.8978125</x:v>
      </x:c>
      <x:c r="F8" s="4" t="str">
        <x:v>direct</x:v>
      </x:c>
      <x:c r="G8" s="14" t="n">
        <x:v>46275.89869212963</x:v>
      </x:c>
      <x:c r="H8" s="14" t="n">
        <x:v>46277.899351851855</x:v>
      </x:c>
      <x:c r="I8" s="14" t="n">
        <x:v>46276.6875</x:v>
      </x:c>
      <x:c r="J8" s="14"/>
      <x:c r="K8" s="4" t="str">
        <x:v>Chưa có email/chat để xác nhận</x:v>
      </x:c>
      <x:c r="L8" s="14" t="n">
        <x:v>46302.788194444445</x:v>
      </x:c>
      <x:c r="M8" s="14" t="n">
        <x:v>46302.788194444445</x:v>
      </x:c>
      <x:c r="N8" s="14"/>
      <x:c r="O8" s="14"/>
      <x:c r="P8" s="16" t="str">
        <x:f>IF(ISNUMBER(J8),J8-G8,"n.a.")</x:f>
        <x:v>n.a.</x:v>
      </x:c>
      <x:c r="Q8" s="16" t="n">
        <x:f>IF(ISNUMBER(M8),M8-G8,"n.a.")</x:f>
        <x:v>26.889502314814308</x:v>
      </x:c>
      <x:c r="R8" s="4" t="str">
        <x:v>IN_TRANSIT, IN_TRANSIT</x:v>
      </x:c>
      <x:c r="S8" s="4" t="str">
        <x:v>https://handoranails.com/</x:v>
      </x:c>
    </x:row>
    <x:row r="9" ht="32" customHeight="1">
      <x:c r="A9" s="9" t="str">
        <x:v>#HD4324-SPF</x:v>
      </x:c>
      <x:c r="B9" s="9" t="str">
        <x:v>Tranh chấp mới</x:v>
      </x:c>
      <x:c r="C9" s="15" t="n">
        <x:v>46285.26620370371</x:v>
      </x:c>
      <x:c r="D9" s="9" t="str">
        <x:v>https://facebook.com/</x:v>
      </x:c>
      <x:c r="E9" s="15" t="n">
        <x:v>46285.26620370371</x:v>
      </x:c>
      <x:c r="F9" s="9" t="str">
        <x:v>https://facebook.com/</x:v>
      </x:c>
      <x:c r="G9" s="15" t="n">
        <x:v>46285.27736111111</x:v>
      </x:c>
      <x:c r="H9" s="15" t="n">
        <x:v>46287.27795138889</x:v>
      </x:c>
      <x:c r="I9" s="15" t="n">
        <x:v>46285.961805555555</x:v>
      </x:c>
      <x:c r="J9" s="15"/>
      <x:c r="K9" s="9" t="str">
        <x:v>Chưa có email/chat để xác nhận</x:v>
      </x:c>
      <x:c r="L9" s="15"/>
      <x:c r="M9" s="15"/>
      <x:c r="N9" s="15" t="n">
        <x:v>46298.23800925926</x:v>
      </x:c>
      <x:c r="O9" s="15"/>
      <x:c r="P9" s="17" t="str">
        <x:f>IF(ISNUMBER(J9),J9-G9,"n.a.")</x:f>
        <x:v>n.a.</x:v>
      </x:c>
      <x:c r="Q9" s="17" t="str">
        <x:f>IF(ISNUMBER(M9),M9-G9,"n.a.")</x:f>
        <x:v>n.a.</x:v>
      </x:c>
      <x:c r="R9" s="9" t="str">
        <x:v>IN_TRANSIT, IN_TRANSIT</x:v>
      </x:c>
      <x:c r="S9" s="9" t="str">
        <x:v>https://handoranails.com/products/warm-cocoa-fall-pumpkin-ladybug-polka-dot-french-press-on-nails</x:v>
      </x:c>
    </x:row>
    <x:row r="10" ht="32" customHeight="1">
      <x:c r="A10" s="4" t="str">
        <x:v>#HD4359-SPF</x:v>
      </x:c>
      <x:c r="B10" s="4" t="str">
        <x:v>Tranh chấp mới</x:v>
      </x:c>
      <x:c r="C10" s="14" t="n">
        <x:v>46286.02837962963</x:v>
      </x:c>
      <x:c r="D10" s="4" t="str">
        <x:v>Google</x:v>
      </x:c>
      <x:c r="E10" s="14" t="n">
        <x:v>46286.51826388889</x:v>
      </x:c>
      <x:c r="F10" s="4" t="str">
        <x:v>direct</x:v>
      </x:c>
      <x:c r="G10" s="14" t="n">
        <x:v>46286.529965277776</x:v>
      </x:c>
      <x:c r="H10" s="14" t="n">
        <x:v>46288.53129629629</x:v>
      </x:c>
      <x:c r="I10" s="14" t="n">
        <x:v>46287.21875</x:v>
      </x:c>
      <x:c r="J10" s="14" t="n">
        <x:v>46296.509722222225</x:v>
      </x:c>
      <x:c r="K10" s="4" t="str">
        <x:v>Chưa có email/chat để xác nhận</x:v>
      </x:c>
      <x:c r="L10" s="14"/>
      <x:c r="M10" s="14"/>
      <x:c r="N10" s="14" t="n">
        <x:v>46304.25085648148</x:v>
      </x:c>
      <x:c r="O10" s="14"/>
      <x:c r="P10" s="16" t="n">
        <x:f>IF(ISNUMBER(J10),J10-G10,"n.a.")</x:f>
        <x:v>9.979756944449036</x:v>
      </x:c>
      <x:c r="Q10" s="16" t="str">
        <x:f>IF(ISNUMBER(M10),M10-G10,"n.a.")</x:f>
        <x:v>n.a.</x:v>
      </x:c>
      <x:c r="R10" s="4" t="str">
        <x:v>DELIVERED</x:v>
      </x:c>
      <x:c r="S10" s="4" t="str">
        <x:v>https://handoranails.com/collections/best-sellers</x:v>
      </x:c>
    </x:row>
    <x:row r="11" ht="32" customHeight="1">
      <x:c r="A11" s="9" t="str">
        <x:v>#HD4452-SPF</x:v>
      </x:c>
      <x:c r="B11" s="9" t="str">
        <x:v>Tranh chấp mới</x:v>
      </x:c>
      <x:c r="C11" s="15" t="n">
        <x:v>46265.98538194444</x:v>
      </x:c>
      <x:c r="D11" s="9" t="str">
        <x:v>https://facebook.com/</x:v>
      </x:c>
      <x:c r="E11" s="15" t="n">
        <x:v>46289.919074074074</x:v>
      </x:c>
      <x:c r="F11" s="9" t="str">
        <x:v>https://facebook.com/</x:v>
      </x:c>
      <x:c r="G11" s="15" t="n">
        <x:v>46289.92056712963</x:v>
      </x:c>
      <x:c r="H11" s="15" t="n">
        <x:v>46292.778182870374</x:v>
      </x:c>
      <x:c r="I11" s="15" t="n">
        <x:v>46290.743055555555</x:v>
      </x:c>
      <x:c r="J11" s="15"/>
      <x:c r="K11" s="9" t="str">
        <x:v>Chưa có email/chat để xác nhận</x:v>
      </x:c>
      <x:c r="L11" s="15"/>
      <x:c r="M11" s="15"/>
      <x:c r="N11" s="15" t="n">
        <x:v>46305.867986111116</x:v>
      </x:c>
      <x:c r="O11" s="15"/>
      <x:c r="P11" s="17" t="str">
        <x:f>IF(ISNUMBER(J11),J11-G11,"n.a.")</x:f>
        <x:v>n.a.</x:v>
      </x:c>
      <x:c r="Q11" s="17" t="str">
        <x:f>IF(ISNUMBER(M11),M11-G11,"n.a.")</x:f>
        <x:v>n.a.</x:v>
      </x:c>
      <x:c r="R11" s="9" t="str">
        <x:v>IN_TRANSIT</x:v>
      </x:c>
      <x:c r="S11" s="9" t="str">
        <x:v>https://handoranails.com/products/oogie-boogie-halloween-press-on-nails</x:v>
      </x:c>
    </x:row>
    <x:row r="12" ht="32" customHeight="1">
      <x:c r="A12" s="4" t="str">
        <x:v>#HD3751-SPF</x:v>
      </x:c>
      <x:c r="B12" s="4" t="str">
        <x:v>Thắng trong kỳ</x:v>
      </x:c>
      <x:c r="C12" s="14" t="n">
        <x:v>46265.526874999996</x:v>
      </x:c>
      <x:c r="D12" s="4" t="str">
        <x:v>an unknown source</x:v>
      </x:c>
      <x:c r="E12" s="14" t="n">
        <x:v>46265.526874999996</x:v>
      </x:c>
      <x:c r="F12" s="4" t="str">
        <x:v>an unknown source</x:v>
      </x:c>
      <x:c r="G12" s="14" t="n">
        <x:v>46265.54237268519</x:v>
      </x:c>
      <x:c r="H12" s="14" t="n">
        <x:v>46267.54520833334</x:v>
      </x:c>
      <x:c r="I12" s="14" t="n">
        <x:v>46268.05233796296</x:v>
      </x:c>
      <x:c r="J12" s="14" t="n">
        <x:v>46294.30347222222</x:v>
      </x:c>
      <x:c r="K12" s="4" t="str">
        <x:v>Chưa có email/chat để xác nhận</x:v>
      </x:c>
      <x:c r="L12" s="14"/>
      <x:c r="M12" s="14"/>
      <x:c r="N12" s="14" t="n">
        <x:v>46291.822384259256</x:v>
      </x:c>
      <x:c r="O12" s="14" t="n">
        <x:v>46296.84893518519</x:v>
      </x:c>
      <x:c r="P12" s="16" t="n">
        <x:f>IF(ISNUMBER(J12),J12-G12,"n.a.")</x:f>
        <x:v>28.76109953703417</x:v>
      </x:c>
      <x:c r="Q12" s="16" t="str">
        <x:f>IF(ISNUMBER(M12),M12-G12,"n.a.")</x:f>
        <x:v>n.a.</x:v>
      </x:c>
      <x:c r="R12" s="4" t="str">
        <x:v>DELIVERED, DELIVERED</x:v>
      </x:c>
      <x:c r="S12" s="4" t="str">
        <x:v>https://handoranails.com/products/amber-pumpkin-halloween-press-on-nails</x:v>
      </x:c>
    </x:row>
    <x:row r="13" ht="32" customHeight="1">
      <x:c r="A13" s="9" t="str">
        <x:v>#HD3754-SPF</x:v>
      </x:c>
      <x:c r="B13" s="9" t="str">
        <x:v>Thắng trong kỳ</x:v>
      </x:c>
      <x:c r="C13" s="15" t="n">
        <x:v>46257.63649305556</x:v>
      </x:c>
      <x:c r="D13" s="9" t="str">
        <x:v>Instagram</x:v>
      </x:c>
      <x:c r="E13" s="15" t="n">
        <x:v>46265.609664351854</x:v>
      </x:c>
      <x:c r="F13" s="9" t="str">
        <x:v>Instagram</x:v>
      </x:c>
      <x:c r="G13" s="15" t="n">
        <x:v>46265.61435185185</x:v>
      </x:c>
      <x:c r="H13" s="15" t="n">
        <x:v>46267.614652777775</x:v>
      </x:c>
      <x:c r="I13" s="15" t="n">
        <x:v>46266.302777777775</x:v>
      </x:c>
      <x:c r="J13" s="15" t="n">
        <x:v>46294.39513888889</x:v>
      </x:c>
      <x:c r="K13" s="9" t="str">
        <x:v>Chưa có email/chat để xác nhận</x:v>
      </x:c>
      <x:c r="L13" s="15"/>
      <x:c r="M13" s="15"/>
      <x:c r="N13" s="15" t="n">
        <x:v>46286.266539351855</x:v>
      </x:c>
      <x:c r="O13" s="15" t="n">
        <x:v>46297.51263888889</x:v>
      </x:c>
      <x:c r="P13" s="17" t="n">
        <x:f>IF(ISNUMBER(J13),J13-G13,"n.a.")</x:f>
        <x:v>28.780787037037953</x:v>
      </x:c>
      <x:c r="Q13" s="17" t="str">
        <x:f>IF(ISNUMBER(M13),M13-G13,"n.a.")</x:f>
        <x:v>n.a.</x:v>
      </x:c>
      <x:c r="R13" s="9" t="str">
        <x:v>DELIVERED</x:v>
      </x:c>
      <x:c r="S13" s="9" t="str">
        <x:v>https://handoranails.com/products/caramel-macchiato-press-on-nails</x:v>
      </x:c>
    </x:row>
    <x:row r="14" ht="32" customHeight="1">
      <x:c r="A14" s="4" t="str">
        <x:v>#HD3201-SPF</x:v>
      </x:c>
      <x:c r="B14" s="4" t="str">
        <x:v>Tồn đọng trước kỳ</x:v>
      </x:c>
      <x:c r="C14" s="14" t="n">
        <x:v>46245.84597222222</x:v>
      </x:c>
      <x:c r="D14" s="4" t="str">
        <x:v>Instagram</x:v>
      </x:c>
      <x:c r="E14" s="14" t="n">
        <x:v>46247.47313657407</x:v>
      </x:c>
      <x:c r="F14" s="4" t="str">
        <x:v>Instagram</x:v>
      </x:c>
      <x:c r="G14" s="14" t="n">
        <x:v>46247.491064814814</x:v>
      </x:c>
      <x:c r="H14" s="14" t="n">
        <x:v>46249.493101851855</x:v>
      </x:c>
      <x:c r="I14" s="14" t="n">
        <x:v>46250.20416666666</x:v>
      </x:c>
      <x:c r="J14" s="14" t="n">
        <x:v>46266.322222222225</x:v>
      </x:c>
      <x:c r="K14" s="4" t="str">
        <x:v>Chưa có email/chat để xác nhận</x:v>
      </x:c>
      <x:c r="L14" s="14"/>
      <x:c r="M14" s="14"/>
      <x:c r="N14" s="14" t="n">
        <x:v>46268.940520833334</x:v>
      </x:c>
      <x:c r="O14" s="14"/>
      <x:c r="P14" s="16" t="n">
        <x:f>IF(ISNUMBER(J14),J14-G14,"n.a.")</x:f>
        <x:v>18.8311574074105</x:v>
      </x:c>
      <x:c r="Q14" s="16" t="str">
        <x:f>IF(ISNUMBER(M14),M14-G14,"n.a.")</x:f>
        <x:v>n.a.</x:v>
      </x:c>
      <x:c r="R14" s="4" t="str">
        <x:v>DELIVERED, DELIVERED</x:v>
      </x:c>
      <x:c r="S14" s="4" t="str">
        <x:v>https://handoranails.com/products/choco-mint-press-on-nails</x:v>
      </x:c>
    </x:row>
    <x:row r="15" ht="32" customHeight="1">
      <x:c r="A15" s="9" t="str">
        <x:v>#HD3361-SPF</x:v>
      </x:c>
      <x:c r="B15" s="9" t="str">
        <x:v>Tồn đọng trước kỳ</x:v>
      </x:c>
      <x:c r="C15" s="15" t="n">
        <x:v>46250.537048611106</x:v>
      </x:c>
      <x:c r="D15" s="9" t="str">
        <x:v>Instagram</x:v>
      </x:c>
      <x:c r="E15" s="15" t="n">
        <x:v>46253.61443287037</x:v>
      </x:c>
      <x:c r="F15" s="9" t="str">
        <x:v>Instagram</x:v>
      </x:c>
      <x:c r="G15" s="15" t="n">
        <x:v>46253.61466435185</x:v>
      </x:c>
      <x:c r="H15" s="15" t="n">
        <x:v>46255.6146875</x:v>
      </x:c>
      <x:c r="I15" s="15" t="n">
        <x:v>46254.37569444445</x:v>
      </x:c>
      <x:c r="J15" s="15" t="n">
        <x:v>46266.521527777775</x:v>
      </x:c>
      <x:c r="K15" s="9" t="str">
        <x:v>Chưa có email/chat để xác nhận</x:v>
      </x:c>
      <x:c r="L15" s="15"/>
      <x:c r="M15" s="15"/>
      <x:c r="N15" s="15" t="n">
        <x:v>46286.44019675926</x:v>
      </x:c>
      <x:c r="O15" s="15"/>
      <x:c r="P15" s="17" t="n">
        <x:f>IF(ISNUMBER(J15),J15-G15,"n.a.")</x:f>
        <x:v>12.906863425923802</x:v>
      </x:c>
      <x:c r="Q15" s="17" t="str">
        <x:f>IF(ISNUMBER(M15),M15-G15,"n.a.")</x:f>
        <x:v>n.a.</x:v>
      </x:c>
      <x:c r="R15" s="9" t="str">
        <x:v>DELIVERED</x:v>
      </x:c>
      <x:c r="S15" s="9" t="str">
        <x:v>https://handoranails.com/products/spiral-hill-halloween-skeleton-press-on-nails</x:v>
      </x:c>
    </x:row>
    <x:row r="16" ht="32" customHeight="1">
      <x:c r="A16" s="4" t="str">
        <x:v>#HD3495-SPF</x:v>
      </x:c>
      <x:c r="B16" s="4" t="str">
        <x:v>Tồn đọng trước kỳ</x:v>
      </x:c>
      <x:c r="C16" s="14" t="n">
        <x:v>46256.49045138889</x:v>
      </x:c>
      <x:c r="D16" s="4" t="str">
        <x:v>Instagram</x:v>
      </x:c>
      <x:c r="E16" s="14" t="n">
        <x:v>46257.834745370375</x:v>
      </x:c>
      <x:c r="F16" s="4" t="str">
        <x:v>Instagram</x:v>
      </x:c>
      <x:c r="G16" s="14" t="n">
        <x:v>46257.8350462963</x:v>
      </x:c>
      <x:c r="H16" s="14" t="n">
        <x:v>46259.836851851855</x:v>
      </x:c>
      <x:c r="I16" s="14" t="n">
        <x:v>46258.646527777775</x:v>
      </x:c>
      <x:c r="J16" s="14" t="n">
        <x:v>46280.52847222222</x:v>
      </x:c>
      <x:c r="K16" s="4" t="str">
        <x:v>Chưa có email/chat để xác nhận</x:v>
      </x:c>
      <x:c r="L16" s="14"/>
      <x:c r="M16" s="14"/>
      <x:c r="N16" s="14" t="n">
        <x:v>46286.88260416666</x:v>
      </x:c>
      <x:c r="O16" s="14"/>
      <x:c r="P16" s="16" t="n">
        <x:f>IF(ISNUMBER(J16),J16-G16,"n.a.")</x:f>
        <x:v>22.693425925921474</x:v>
      </x:c>
      <x:c r="Q16" s="16" t="str">
        <x:f>IF(ISNUMBER(M16),M16-G16,"n.a.")</x:f>
        <x:v>n.a.</x:v>
      </x:c>
      <x:c r="R16" s="4" t="str">
        <x:v>DELIVERED</x:v>
      </x:c>
      <x:c r="S16" s="4" t="str">
        <x:v>https://handoranails.com/products/striped-widow-halloween-press-on-nails</x:v>
      </x:c>
    </x:row>
    <x:row r="17" ht="32" customHeight="1">
      <x:c r="A17" s="9" t="str">
        <x:v>#HD3571-SPF</x:v>
      </x:c>
      <x:c r="B17" s="9" t="str">
        <x:v>Tồn đọng trước kỳ</x:v>
      </x:c>
      <x:c r="C17" s="15" t="n">
        <x:v>46256.67533564815</x:v>
      </x:c>
      <x:c r="D17" s="9" t="str">
        <x:v>Instagram</x:v>
      </x:c>
      <x:c r="E17" s="15" t="n">
        <x:v>46260.382986111115</x:v>
      </x:c>
      <x:c r="F17" s="9" t="str">
        <x:v>Instagram</x:v>
      </x:c>
      <x:c r="G17" s="15" t="n">
        <x:v>46260.3849537037</x:v>
      </x:c>
      <x:c r="H17" s="15" t="n">
        <x:v>46262.38550925926</x:v>
      </x:c>
      <x:c r="I17" s="15" t="n">
        <x:v>46261.101388888885</x:v>
      </x:c>
      <x:c r="J17" s="15"/>
      <x:c r="K17" s="9" t="str">
        <x:v>Chưa có email/chat để xác nhận</x:v>
      </x:c>
      <x:c r="L17" s="15"/>
      <x:c r="M17" s="15"/>
      <x:c r="N17" s="15" t="n">
        <x:v>46288.64579861111</x:v>
      </x:c>
      <x:c r="O17" s="15"/>
      <x:c r="P17" s="17" t="str">
        <x:f>IF(ISNUMBER(J17),J17-G17,"n.a.")</x:f>
        <x:v>n.a.</x:v>
      </x:c>
      <x:c r="Q17" s="17" t="str">
        <x:f>IF(ISNUMBER(M17),M17-G17,"n.a.")</x:f>
        <x:v>n.a.</x:v>
      </x:c>
      <x:c r="R17" s="9" t="str">
        <x:v>IN_TRANSIT</x:v>
      </x:c>
      <x:c r="S17" s="9" t="str">
        <x:v>https://handoranails.com/products/starry-tiger-brown-tiger-stripe-gold-star-almond-press-on-nails</x:v>
      </x:c>
    </x:row>
    <x:row r="18" ht="32" customHeight="1">
      <x:c r="A18" s="4" t="str">
        <x:v>#HD3828-SPF</x:v>
      </x:c>
      <x:c r="B18" s="4" t="str">
        <x:v>Tồn đọng trước kỳ</x:v>
      </x:c>
      <x:c r="C18" s="14" t="n">
        <x:v>46268.6156712963</x:v>
      </x:c>
      <x:c r="D18" s="4" t="str">
        <x:v>Facebook</x:v>
      </x:c>
      <x:c r="E18" s="14" t="n">
        <x:v>46268.6156712963</x:v>
      </x:c>
      <x:c r="F18" s="4" t="str">
        <x:v>Facebook</x:v>
      </x:c>
      <x:c r="G18" s="14" t="n">
        <x:v>46268.62538194444</x:v>
      </x:c>
      <x:c r="H18" s="14" t="n">
        <x:v>46270.628645833334</x:v>
      </x:c>
      <x:c r="I18" s="14" t="n">
        <x:v>46269.353472222225</x:v>
      </x:c>
      <x:c r="J18" s="14" t="n">
        <x:v>46293.396527777775</x:v>
      </x:c>
      <x:c r="K18" s="4" t="str">
        <x:v>Chưa có email/chat để xác nhận</x:v>
      </x:c>
      <x:c r="L18" s="14"/>
      <x:c r="M18" s="14"/>
      <x:c r="N18" s="14" t="n">
        <x:v>46289.72445601852</x:v>
      </x:c>
      <x:c r="O18" s="14"/>
      <x:c r="P18" s="16" t="n">
        <x:f>IF(ISNUMBER(J18),J18-G18,"n.a.")</x:f>
        <x:v>24.77114583333605</x:v>
      </x:c>
      <x:c r="Q18" s="16" t="str">
        <x:f>IF(ISNUMBER(M18),M18-G18,"n.a.")</x:f>
        <x:v>n.a.</x:v>
      </x:c>
      <x:c r="R18" s="4" t="str">
        <x:v>DELIVERED</x:v>
      </x:c>
      <x:c r="S18" s="4" t="str">
        <x:v>https://handoranails.com/collections/halloween-nails</x:v>
      </x:c>
    </x:row>
    <x:row r="19" ht="32" customHeight="1">
      <x:c r="A19" s="9" t="str">
        <x:v>#HD3862-SPF</x:v>
      </x:c>
      <x:c r="B19" s="9" t="str">
        <x:v>Tồn đọng trước kỳ</x:v>
      </x:c>
      <x:c r="C19" s="15" t="n">
        <x:v>46267.44478009259</x:v>
      </x:c>
      <x:c r="D19" s="9" t="str">
        <x:v>Instagram</x:v>
      </x:c>
      <x:c r="E19" s="15" t="n">
        <x:v>46269.47243055556</x:v>
      </x:c>
      <x:c r="F19" s="9" t="str">
        <x:v>Instagram</x:v>
      </x:c>
      <x:c r="G19" s="15" t="n">
        <x:v>46269.51672453704</x:v>
      </x:c>
      <x:c r="H19" s="15" t="n">
        <x:v>46271.517418981486</x:v>
      </x:c>
      <x:c r="I19" s="15" t="n">
        <x:v>46270.23958333333</x:v>
      </x:c>
      <x:c r="J19" s="15" t="n">
        <x:v>46297.48611111111</x:v>
      </x:c>
      <x:c r="K19" s="9" t="str">
        <x:v>Chưa có email/chat để xác nhận</x:v>
      </x:c>
      <x:c r="L19" s="15"/>
      <x:c r="M19" s="15"/>
      <x:c r="N19" s="15" t="n">
        <x:v>46285.02802083333</x:v>
      </x:c>
      <x:c r="O19" s="15"/>
      <x:c r="P19" s="17" t="n">
        <x:f>IF(ISNUMBER(J19),J19-G19,"n.a.")</x:f>
        <x:v>27.969386574070086</x:v>
      </x:c>
      <x:c r="Q19" s="17" t="str">
        <x:f>IF(ISNUMBER(M19),M19-G19,"n.a.")</x:f>
        <x:v>n.a.</x:v>
      </x:c>
      <x:c r="R19" s="9" t="str">
        <x:v>DELIVERED, DELIVERED</x:v>
      </x:c>
      <x:c r="S19" s="9" t="str">
        <x:v>https://handoranails.com/collections/best-sellers</x:v>
      </x:c>
    </x:row>
    <x:row r="20" ht="32" customHeight="1">
      <x:c r="A20" s="4" t="str">
        <x:v>#HD4059-SPF</x:v>
      </x:c>
      <x:c r="B20" s="4" t="str">
        <x:v>Tồn đọng trước kỳ</x:v>
      </x:c>
      <x:c r="C20" s="14" t="n">
        <x:v>46253.36336805555</x:v>
      </x:c>
      <x:c r="D20" s="4" t="str">
        <x:v>Instagram</x:v>
      </x:c>
      <x:c r="E20" s="14" t="n">
        <x:v>46275.41197916667</x:v>
      </x:c>
      <x:c r="F20" s="4" t="str">
        <x:v>Instagram</x:v>
      </x:c>
      <x:c r="G20" s="14" t="n">
        <x:v>46275.4515162037</x:v>
      </x:c>
      <x:c r="H20" s="14" t="n">
        <x:v>46277.454918981486</x:v>
      </x:c>
      <x:c r="I20" s="14" t="n">
        <x:v>46276.1375</x:v>
      </x:c>
      <x:c r="J20" s="14" t="n">
        <x:v>46295.47013888889</x:v>
      </x:c>
      <x:c r="K20" s="4" t="str">
        <x:v>Chưa có email/chat để xác nhận</x:v>
      </x:c>
      <x:c r="L20" s="14"/>
      <x:c r="M20" s="14"/>
      <x:c r="N20" s="14" t="n">
        <x:v>46293.850023148145</x:v>
      </x:c>
      <x:c r="O20" s="14"/>
      <x:c r="P20" s="16" t="n">
        <x:f>IF(ISNUMBER(J20),J20-G20,"n.a.")</x:f>
        <x:v>20.018622685194714</x:v>
      </x:c>
      <x:c r="Q20" s="16" t="str">
        <x:f>IF(ISNUMBER(M20),M20-G20,"n.a.")</x:f>
        <x:v>n.a.</x:v>
      </x:c>
      <x:c r="R20" s="4" t="str">
        <x:v>DELIVERED, DELIVERED</x:v>
      </x:c>
      <x:c r="S20" s="4" t="str">
        <x:v>https://handoranails.com/products/dracudogs-halloween-press-on-nails</x:v>
      </x:c>
    </x:row>
  </x:sheetData>
  <x:pageMargins left="0.7" right="0.7" top="0.75" bottom="0.75" header="0.3" footer="0.3"/>
  <x:tableParts count="1">
    <x:tablePart xmlns:r="http://schemas.openxmlformats.org/officeDocument/2006/relationships" r:id="R59f3ed50c9e6439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6" hidden="0" customWidth="1"/>
    <x:col min="4" max="4" width="40" hidden="0" customWidth="1"/>
    <x:col min="5" max="5" width="26" hidden="0" customWidth="1"/>
    <x:col min="6" max="6" width="34" hidden="0" customWidth="1"/>
    <x:col min="7" max="7" width="17" hidden="0" customWidth="1"/>
    <x:col min="8" max="8" width="18" hidden="0" customWidth="1"/>
    <x:col min="9" max="9" width="23" hidden="0" customWidth="1"/>
    <x:col min="10" max="10" width="23" hidden="0" customWidth="1"/>
    <x:col min="11" max="11" width="23" hidden="0" customWidth="1"/>
  </x:cols>
  <x:sheetData>
    <x:row r="2">
      <x:c r="A2" s="1" t="str">
        <x:v>Sản phẩm trong các đơn liên quan</x:v>
      </x:c>
    </x:row>
    <x:row r="3">
      <x:c r="A3" s="2" t="str">
        <x:v>Mốc ngày: America/Los_Angeles (PDT, UTC−7). Giá trị: USD. Cập nhật 12/10/2026 10:09 UTC+7.</x:v>
      </x:c>
    </x:row>
    <x:row r="5" ht="42" customHeight="1">
      <x:c r="A5" s="8" t="str">
        <x:v>Đơn</x:v>
      </x:c>
      <x:c r="B5" s="8" t="str">
        <x:v>Nhóm báo cáo</x:v>
      </x:c>
      <x:c r="C5" s="8" t="str">
        <x:v>Thuộc nhóm mới</x:v>
      </x:c>
      <x:c r="D5" s="8" t="str">
        <x:v>Sản phẩm</x:v>
      </x:c>
      <x:c r="E5" s="8" t="str">
        <x:v>SKU</x:v>
      </x:c>
      <x:c r="F5" s="8" t="str">
        <x:v>Biến thể</x:v>
      </x:c>
      <x:c r="G5" s="8" t="str">
        <x:v>Phân loại</x:v>
      </x:c>
      <x:c r="H5" s="8" t="str">
        <x:v>SL trong đơn</x:v>
      </x:c>
      <x:c r="I5" s="8" t="str">
        <x:v>Giá dòng API USD</x:v>
      </x:c>
      <x:c r="J5" s="8" t="str">
        <x:v>SL dòng được hoàn</x:v>
      </x:c>
      <x:c r="K5" s="8" t="str">
        <x:v>Subtotal hoàn USD</x:v>
      </x:c>
    </x:row>
    <x:row r="6" ht="32" customHeight="1">
      <x:c r="A6" s="4" t="str">
        <x:v>#HD4607-SPF</x:v>
      </x:c>
      <x:c r="B6" s="4" t="str">
        <x:v>Hoàn tiền trong kỳ</x:v>
      </x:c>
      <x:c r="C6" s="4" t="n">
        <x:v>1</x:v>
      </x:c>
      <x:c r="D6" s="4" t="str">
        <x:v>Spiral Hill</x:v>
      </x:c>
      <x:c r="E6" s="4" t="str">
        <x:v>PA_HLW26_24</x:v>
      </x:c>
      <x:c r="F6" s="4" t="str">
        <x:v>XS / Short</x:v>
      </x:c>
      <x:c r="G6" s="4" t="str">
        <x:v>Bộ móng</x:v>
      </x:c>
      <x:c r="H6" s="4" t="n">
        <x:v>1</x:v>
      </x:c>
      <x:c r="I6" s="12" t="n">
        <x:v>39.95</x:v>
      </x:c>
      <x:c r="J6" s="4" t="n">
        <x:v>1</x:v>
      </x:c>
      <x:c r="K6" s="12" t="n">
        <x:v>35.96</x:v>
      </x:c>
    </x:row>
    <x:row r="7" ht="32" customHeight="1">
      <x:c r="A7" s="9" t="str">
        <x:v>#HD4607-SPF</x:v>
      </x:c>
      <x:c r="B7" s="9" t="str">
        <x:v>Hoàn tiền trong kỳ</x:v>
      </x:c>
      <x:c r="C7" s="9" t="n">
        <x:v>1</x:v>
      </x:c>
      <x:c r="D7" s="9" t="str">
        <x:v>Tip</x:v>
      </x:c>
      <x:c r="E7" s="9" t="str">
        <x:v>Thiếu SKU trong đơn</x:v>
      </x:c>
      <x:c r="F7" s="9" t="str"/>
      <x:c r="G7" s="9" t="str">
        <x:v>Tip</x:v>
      </x:c>
      <x:c r="H7" s="9" t="n">
        <x:v>1</x:v>
      </x:c>
      <x:c r="I7" s="13" t="n">
        <x:v>1</x:v>
      </x:c>
      <x:c r="J7" s="9" t="n">
        <x:v>0</x:v>
      </x:c>
      <x:c r="K7" s="13" t="n">
        <x:v>0</x:v>
      </x:c>
    </x:row>
    <x:row r="8" ht="32" customHeight="1">
      <x:c r="A8" s="4" t="str">
        <x:v>#HD3910-SPF</x:v>
      </x:c>
      <x:c r="B8" s="4" t="str">
        <x:v>Hoàn tiền trong kỳ</x:v>
      </x:c>
      <x:c r="C8" s="4" t="n">
        <x:v>1</x:v>
      </x:c>
      <x:c r="D8" s="4" t="str">
        <x:v>Dragon Eye</x:v>
      </x:c>
      <x:c r="E8" s="4" t="str">
        <x:v>QB_HLW26_29</x:v>
      </x:c>
      <x:c r="F8" s="4" t="str">
        <x:v>M / Medium / Almond</x:v>
      </x:c>
      <x:c r="G8" s="4" t="str">
        <x:v>Bộ móng</x:v>
      </x:c>
      <x:c r="H8" s="4" t="n">
        <x:v>1</x:v>
      </x:c>
      <x:c r="I8" s="12" t="n">
        <x:v>35.96</x:v>
      </x:c>
      <x:c r="J8" s="4" t="n">
        <x:v>1</x:v>
      </x:c>
      <x:c r="K8" s="12" t="n">
        <x:v>35.96</x:v>
      </x:c>
    </x:row>
    <x:row r="9" ht="32" customHeight="1">
      <x:c r="A9" s="9" t="str">
        <x:v>#HD3910-SPF</x:v>
      </x:c>
      <x:c r="B9" s="9" t="str">
        <x:v>Hoàn tiền trong kỳ</x:v>
      </x:c>
      <x:c r="C9" s="9" t="n">
        <x:v>1</x:v>
      </x:c>
      <x:c r="D9" s="9" t="str">
        <x:v>Papaya Bloom</x:v>
      </x:c>
      <x:c r="E9" s="9" t="str">
        <x:v>QB_SM26_184</x:v>
      </x:c>
      <x:c r="F9" s="9" t="str">
        <x:v>M / Medium</x:v>
      </x:c>
      <x:c r="G9" s="9" t="str">
        <x:v>Bộ móng</x:v>
      </x:c>
      <x:c r="H9" s="9" t="n">
        <x:v>1</x:v>
      </x:c>
      <x:c r="I9" s="13" t="n">
        <x:v>41.36</x:v>
      </x:c>
      <x:c r="J9" s="9" t="n">
        <x:v>1</x:v>
      </x:c>
      <x:c r="K9" s="13" t="n">
        <x:v>41.36</x:v>
      </x:c>
    </x:row>
    <x:row r="10" ht="32" customHeight="1">
      <x:c r="A10" s="4" t="str">
        <x:v>#HD4072-SPF</x:v>
      </x:c>
      <x:c r="B10" s="4" t="str">
        <x:v>Hoàn tiền trong kỳ</x:v>
      </x:c>
      <x:c r="C10" s="4" t="n">
        <x:v>1</x:v>
      </x:c>
      <x:c r="D10" s="4" t="str">
        <x:v>Dracudogs</x:v>
      </x:c>
      <x:c r="E10" s="4" t="str">
        <x:v>Thiếu SKU trong đơn</x:v>
      </x:c>
      <x:c r="F10" s="4" t="str">
        <x:v>S / Short / Dachshund</x:v>
      </x:c>
      <x:c r="G10" s="4" t="str">
        <x:v>Bộ móng</x:v>
      </x:c>
      <x:c r="H10" s="4" t="n">
        <x:v>1</x:v>
      </x:c>
      <x:c r="I10" s="12" t="n">
        <x:v>27.97</x:v>
      </x:c>
      <x:c r="J10" s="4" t="n">
        <x:v>1</x:v>
      </x:c>
      <x:c r="K10" s="12" t="n">
        <x:v>27.97</x:v>
      </x:c>
    </x:row>
    <x:row r="11" ht="32" customHeight="1">
      <x:c r="A11" s="9" t="str">
        <x:v>#HD4072-SPF</x:v>
      </x:c>
      <x:c r="B11" s="9" t="str">
        <x:v>Hoàn tiền trong kỳ</x:v>
      </x:c>
      <x:c r="C11" s="9" t="n">
        <x:v>1</x:v>
      </x:c>
      <x:c r="D11" s="9" t="str">
        <x:v>Free Gift — 3in1 Nail Glue Pro Kit</x:v>
      </x:c>
      <x:c r="E11" s="9" t="str">
        <x:v>TA_03</x:v>
      </x:c>
      <x:c r="F11" s="9" t="str"/>
      <x:c r="G11" s="9" t="str">
        <x:v>Quà tặng</x:v>
      </x:c>
      <x:c r="H11" s="9" t="n">
        <x:v>1</x:v>
      </x:c>
      <x:c r="I11" s="13" t="n">
        <x:v>0</x:v>
      </x:c>
      <x:c r="J11" s="9" t="n">
        <x:v>0</x:v>
      </x:c>
      <x:c r="K11" s="13" t="n">
        <x:v>0</x:v>
      </x:c>
    </x:row>
    <x:row r="12" ht="32" customHeight="1">
      <x:c r="A12" s="4" t="str">
        <x:v>#HD4072-SPF</x:v>
      </x:c>
      <x:c r="B12" s="4" t="str">
        <x:v>Hoàn tiền trong kỳ</x:v>
      </x:c>
      <x:c r="C12" s="4" t="n">
        <x:v>1</x:v>
      </x:c>
      <x:c r="D12" s="4" t="str">
        <x:v>Floral Hibiscus</x:v>
      </x:c>
      <x:c r="E12" s="4" t="str">
        <x:v>QB_SM26_138</x:v>
      </x:c>
      <x:c r="F12" s="4" t="str">
        <x:v>S / Short</x:v>
      </x:c>
      <x:c r="G12" s="4" t="str">
        <x:v>Bộ móng</x:v>
      </x:c>
      <x:c r="H12" s="4" t="n">
        <x:v>1</x:v>
      </x:c>
      <x:c r="I12" s="12" t="n">
        <x:v>20.97</x:v>
      </x:c>
      <x:c r="J12" s="4" t="n">
        <x:v>1</x:v>
      </x:c>
      <x:c r="K12" s="12" t="n">
        <x:v>20.97</x:v>
      </x:c>
    </x:row>
    <x:row r="13" ht="32" customHeight="1">
      <x:c r="A13" s="9" t="str">
        <x:v>#HD4072-SPF</x:v>
      </x:c>
      <x:c r="B13" s="9" t="str">
        <x:v>Hoàn tiền trong kỳ</x:v>
      </x:c>
      <x:c r="C13" s="9" t="n">
        <x:v>1</x:v>
      </x:c>
      <x:c r="D13" s="9" t="str">
        <x:v>Fawn Dream</x:v>
      </x:c>
      <x:c r="E13" s="9" t="str">
        <x:v>PA_FN26_14</x:v>
      </x:c>
      <x:c r="F13" s="9" t="str">
        <x:v>S / Short</x:v>
      </x:c>
      <x:c r="G13" s="9" t="str">
        <x:v>Bộ móng</x:v>
      </x:c>
      <x:c r="H13" s="9" t="n">
        <x:v>1</x:v>
      </x:c>
      <x:c r="I13" s="13" t="n">
        <x:v>24.47</x:v>
      </x:c>
      <x:c r="J13" s="9" t="n">
        <x:v>1</x:v>
      </x:c>
      <x:c r="K13" s="13" t="n">
        <x:v>24.47</x:v>
      </x:c>
    </x:row>
    <x:row r="14" ht="32" customHeight="1">
      <x:c r="A14" s="4" t="str">
        <x:v>#HD4072-SPF</x:v>
      </x:c>
      <x:c r="B14" s="4" t="str">
        <x:v>Hoàn tiền trong kỳ</x:v>
      </x:c>
      <x:c r="C14" s="4" t="n">
        <x:v>1</x:v>
      </x:c>
      <x:c r="D14" s="4" t="str">
        <x:v>Free Gift — Handora Cuticle Oil Pen</x:v>
      </x:c>
      <x:c r="E14" s="4" t="str">
        <x:v>TA_02</x:v>
      </x:c>
      <x:c r="F14" s="4" t="str"/>
      <x:c r="G14" s="4" t="str">
        <x:v>Quà tặng</x:v>
      </x:c>
      <x:c r="H14" s="4" t="n">
        <x:v>1</x:v>
      </x:c>
      <x:c r="I14" s="12" t="n">
        <x:v>0</x:v>
      </x:c>
      <x:c r="J14" s="4" t="n">
        <x:v>0</x:v>
      </x:c>
      <x:c r="K14" s="12" t="n">
        <x:v>0</x:v>
      </x:c>
    </x:row>
    <x:row r="15" ht="32" customHeight="1">
      <x:c r="A15" s="9" t="str">
        <x:v>#HD4072-SPF</x:v>
      </x:c>
      <x:c r="B15" s="9" t="str">
        <x:v>Hoàn tiền trong kỳ</x:v>
      </x:c>
      <x:c r="C15" s="9" t="n">
        <x:v>1</x:v>
      </x:c>
      <x:c r="D15" s="9" t="str">
        <x:v>Floral Dots</x:v>
      </x:c>
      <x:c r="E15" s="9" t="str">
        <x:v>QB_SM26_163</x:v>
      </x:c>
      <x:c r="F15" s="9" t="str">
        <x:v>S / Short</x:v>
      </x:c>
      <x:c r="G15" s="9" t="str">
        <x:v>Bộ móng</x:v>
      </x:c>
      <x:c r="H15" s="9" t="n">
        <x:v>1</x:v>
      </x:c>
      <x:c r="I15" s="13" t="n">
        <x:v>20.97</x:v>
      </x:c>
      <x:c r="J15" s="9" t="n">
        <x:v>1</x:v>
      </x:c>
      <x:c r="K15" s="13" t="n">
        <x:v>20.97</x:v>
      </x:c>
    </x:row>
    <x:row r="16" ht="32" customHeight="1">
      <x:c r="A16" s="4" t="str">
        <x:v>#HD4072-SPF</x:v>
      </x:c>
      <x:c r="B16" s="4" t="str">
        <x:v>Hoàn tiền trong kỳ</x:v>
      </x:c>
      <x:c r="C16" s="4" t="n">
        <x:v>1</x:v>
      </x:c>
      <x:c r="D16" s="4" t="str">
        <x:v>Rose Bambi</x:v>
      </x:c>
      <x:c r="E16" s="4" t="str">
        <x:v>PA_FN26_23</x:v>
      </x:c>
      <x:c r="F16" s="4" t="str">
        <x:v>S / Short</x:v>
      </x:c>
      <x:c r="G16" s="4" t="str">
        <x:v>Bộ móng</x:v>
      </x:c>
      <x:c r="H16" s="4" t="n">
        <x:v>1</x:v>
      </x:c>
      <x:c r="I16" s="12" t="n">
        <x:v>24.47</x:v>
      </x:c>
      <x:c r="J16" s="4" t="n">
        <x:v>1</x:v>
      </x:c>
      <x:c r="K16" s="12" t="n">
        <x:v>24.47</x:v>
      </x:c>
    </x:row>
    <x:row r="17" ht="32" customHeight="1">
      <x:c r="A17" s="9" t="str">
        <x:v>#HD4324-SPF</x:v>
      </x:c>
      <x:c r="B17" s="9" t="str">
        <x:v>Tranh chấp mới</x:v>
      </x:c>
      <x:c r="C17" s="9" t="n">
        <x:v>1</x:v>
      </x:c>
      <x:c r="D17" s="9" t="str">
        <x:v>Free Gift — Handora Cuticle Oil Pen</x:v>
      </x:c>
      <x:c r="E17" s="9" t="str">
        <x:v>TA_02</x:v>
      </x:c>
      <x:c r="F17" s="9" t="str"/>
      <x:c r="G17" s="9" t="str">
        <x:v>Quà tặng</x:v>
      </x:c>
      <x:c r="H17" s="9" t="n">
        <x:v>1</x:v>
      </x:c>
      <x:c r="I17" s="13" t="n">
        <x:v>0</x:v>
      </x:c>
      <x:c r="J17" s="9" t="n">
        <x:v>0</x:v>
      </x:c>
      <x:c r="K17" s="13" t="n">
        <x:v>0</x:v>
      </x:c>
    </x:row>
    <x:row r="18" ht="32" customHeight="1">
      <x:c r="A18" s="4" t="str">
        <x:v>#HD4324-SPF</x:v>
      </x:c>
      <x:c r="B18" s="4" t="str">
        <x:v>Tranh chấp mới</x:v>
      </x:c>
      <x:c r="C18" s="4" t="n">
        <x:v>1</x:v>
      </x:c>
      <x:c r="D18" s="4" t="str">
        <x:v>Sweet Poison</x:v>
      </x:c>
      <x:c r="E18" s="4" t="str">
        <x:v>PA_HLW26_351</x:v>
      </x:c>
      <x:c r="F18" s="4" t="str">
        <x:v>S / Medium</x:v>
      </x:c>
      <x:c r="G18" s="4" t="str">
        <x:v>Bộ móng</x:v>
      </x:c>
      <x:c r="H18" s="4" t="n">
        <x:v>1</x:v>
      </x:c>
      <x:c r="I18" s="12" t="n">
        <x:v>27.96</x:v>
      </x:c>
      <x:c r="J18" s="4" t="n">
        <x:v>0</x:v>
      </x:c>
      <x:c r="K18" s="12" t="n">
        <x:v>0</x:v>
      </x:c>
    </x:row>
    <x:row r="19" ht="32" customHeight="1">
      <x:c r="A19" s="9" t="str">
        <x:v>#HD4324-SPF</x:v>
      </x:c>
      <x:c r="B19" s="9" t="str">
        <x:v>Tranh chấp mới</x:v>
      </x:c>
      <x:c r="C19" s="9" t="n">
        <x:v>1</x:v>
      </x:c>
      <x:c r="D19" s="9" t="str">
        <x:v>Rose Bambi</x:v>
      </x:c>
      <x:c r="E19" s="9" t="str">
        <x:v>PA_FN26_23</x:v>
      </x:c>
      <x:c r="F19" s="9" t="str">
        <x:v>S / Medium</x:v>
      </x:c>
      <x:c r="G19" s="9" t="str">
        <x:v>Bộ móng</x:v>
      </x:c>
      <x:c r="H19" s="9" t="n">
        <x:v>1</x:v>
      </x:c>
      <x:c r="I19" s="13" t="n">
        <x:v>27.96</x:v>
      </x:c>
      <x:c r="J19" s="9" t="n">
        <x:v>0</x:v>
      </x:c>
      <x:c r="K19" s="13" t="n">
        <x:v>0</x:v>
      </x:c>
    </x:row>
    <x:row r="20" ht="32" customHeight="1">
      <x:c r="A20" s="4" t="str">
        <x:v>#HD4324-SPF</x:v>
      </x:c>
      <x:c r="B20" s="4" t="str">
        <x:v>Tranh chấp mới</x:v>
      </x:c>
      <x:c r="C20" s="4" t="n">
        <x:v>1</x:v>
      </x:c>
      <x:c r="D20" s="4" t="str">
        <x:v>Warm Cocoa</x:v>
      </x:c>
      <x:c r="E20" s="4" t="str">
        <x:v>PA_HLW26_76</x:v>
      </x:c>
      <x:c r="F20" s="4" t="str">
        <x:v>S / Medium</x:v>
      </x:c>
      <x:c r="G20" s="4" t="str">
        <x:v>Bộ móng</x:v>
      </x:c>
      <x:c r="H20" s="4" t="n">
        <x:v>1</x:v>
      </x:c>
      <x:c r="I20" s="12" t="n">
        <x:v>23.96</x:v>
      </x:c>
      <x:c r="J20" s="4" t="n">
        <x:v>0</x:v>
      </x:c>
      <x:c r="K20" s="12" t="n">
        <x:v>0</x:v>
      </x:c>
    </x:row>
    <x:row r="21" ht="32" customHeight="1">
      <x:c r="A21" s="9" t="str">
        <x:v>#HD4359-SPF</x:v>
      </x:c>
      <x:c r="B21" s="9" t="str">
        <x:v>Tranh chấp mới</x:v>
      </x:c>
      <x:c r="C21" s="9" t="n">
        <x:v>1</x:v>
      </x:c>
      <x:c r="D21" s="9" t="str">
        <x:v>Luminous Rose</x:v>
      </x:c>
      <x:c r="E21" s="9" t="str">
        <x:v>QB_QB26_04</x:v>
      </x:c>
      <x:c r="F21" s="9" t="str">
        <x:v>XS / Almond / Long (30mm)</x:v>
      </x:c>
      <x:c r="G21" s="9" t="str">
        <x:v>Bộ móng</x:v>
      </x:c>
      <x:c r="H21" s="9" t="n">
        <x:v>1</x:v>
      </x:c>
      <x:c r="I21" s="13" t="n">
        <x:v>24.95</x:v>
      </x:c>
      <x:c r="J21" s="9" t="n">
        <x:v>0</x:v>
      </x:c>
      <x:c r="K21" s="13" t="n">
        <x:v>0</x:v>
      </x:c>
    </x:row>
    <x:row r="22" ht="32" customHeight="1">
      <x:c r="A22" s="4" t="str">
        <x:v>#HD4452-SPF</x:v>
      </x:c>
      <x:c r="B22" s="4" t="str">
        <x:v>Tranh chấp mới</x:v>
      </x:c>
      <x:c r="C22" s="4" t="n">
        <x:v>1</x:v>
      </x:c>
      <x:c r="D22" s="4" t="str">
        <x:v>Oogie Boogie</x:v>
      </x:c>
      <x:c r="E22" s="4" t="str">
        <x:v>PA_HLW26_05</x:v>
      </x:c>
      <x:c r="F22" s="4" t="str">
        <x:v>M / Long</x:v>
      </x:c>
      <x:c r="G22" s="4" t="str">
        <x:v>Bộ móng</x:v>
      </x:c>
      <x:c r="H22" s="4" t="n">
        <x:v>1</x:v>
      </x:c>
      <x:c r="I22" s="12" t="n">
        <x:v>31.46</x:v>
      </x:c>
      <x:c r="J22" s="4" t="n">
        <x:v>0</x:v>
      </x:c>
      <x:c r="K22" s="12" t="n">
        <x:v>0</x:v>
      </x:c>
    </x:row>
    <x:row r="23" ht="32" customHeight="1">
      <x:c r="A23" s="9" t="str">
        <x:v>#HD4452-SPF</x:v>
      </x:c>
      <x:c r="B23" s="9" t="str">
        <x:v>Tranh chấp mới</x:v>
      </x:c>
      <x:c r="C23" s="9" t="n">
        <x:v>1</x:v>
      </x:c>
      <x:c r="D23" s="9" t="str">
        <x:v>Spiral Hill</x:v>
      </x:c>
      <x:c r="E23" s="9" t="str">
        <x:v>PA_HLW26_24</x:v>
      </x:c>
      <x:c r="F23" s="9" t="str">
        <x:v>M / Medium</x:v>
      </x:c>
      <x:c r="G23" s="9" t="str">
        <x:v>Bộ móng</x:v>
      </x:c>
      <x:c r="H23" s="9" t="n">
        <x:v>1</x:v>
      </x:c>
      <x:c r="I23" s="13" t="n">
        <x:v>35.96</x:v>
      </x:c>
      <x:c r="J23" s="9" t="n">
        <x:v>0</x:v>
      </x:c>
      <x:c r="K23" s="13" t="n">
        <x:v>0</x:v>
      </x:c>
    </x:row>
    <x:row r="24" ht="32" customHeight="1">
      <x:c r="A24" s="4" t="str">
        <x:v>#HD3751-SPF</x:v>
      </x:c>
      <x:c r="B24" s="4" t="str">
        <x:v>Thắng trong kỳ</x:v>
      </x:c>
      <x:c r="C24" s="4" t="n">
        <x:v>0</x:v>
      </x:c>
      <x:c r="D24" s="4" t="str">
        <x:v>Blueberry Swirl</x:v>
      </x:c>
      <x:c r="E24" s="4" t="str">
        <x:v>QB_SM26_88</x:v>
      </x:c>
      <x:c r="F24" s="4" t="str">
        <x:v>S / Almond / Short</x:v>
      </x:c>
      <x:c r="G24" s="4" t="str">
        <x:v>Bộ móng</x:v>
      </x:c>
      <x:c r="H24" s="4" t="n">
        <x:v>1</x:v>
      </x:c>
      <x:c r="I24" s="12" t="n">
        <x:v>24.47</x:v>
      </x:c>
      <x:c r="J24" s="4" t="n">
        <x:v>0</x:v>
      </x:c>
      <x:c r="K24" s="12" t="n">
        <x:v>0</x:v>
      </x:c>
    </x:row>
    <x:row r="25" ht="32" customHeight="1">
      <x:c r="A25" s="9" t="str">
        <x:v>#HD3751-SPF</x:v>
      </x:c>
      <x:c r="B25" s="9" t="str">
        <x:v>Thắng trong kỳ</x:v>
      </x:c>
      <x:c r="C25" s="9" t="n">
        <x:v>0</x:v>
      </x:c>
      <x:c r="D25" s="9" t="str">
        <x:v>Summer Puppy</x:v>
      </x:c>
      <x:c r="E25" s="9" t="str">
        <x:v>QB_DM25_01</x:v>
      </x:c>
      <x:c r="F25" s="9" t="str">
        <x:v>S / Siberian Husky</x:v>
      </x:c>
      <x:c r="G25" s="9" t="str">
        <x:v>Bộ móng</x:v>
      </x:c>
      <x:c r="H25" s="9" t="n">
        <x:v>1</x:v>
      </x:c>
      <x:c r="I25" s="13" t="n">
        <x:v>27.97</x:v>
      </x:c>
      <x:c r="J25" s="9" t="n">
        <x:v>0</x:v>
      </x:c>
      <x:c r="K25" s="13" t="n">
        <x:v>0</x:v>
      </x:c>
    </x:row>
    <x:row r="26" ht="32" customHeight="1">
      <x:c r="A26" s="4" t="str">
        <x:v>#HD3751-SPF</x:v>
      </x:c>
      <x:c r="B26" s="4" t="str">
        <x:v>Thắng trong kỳ</x:v>
      </x:c>
      <x:c r="C26" s="4" t="n">
        <x:v>0</x:v>
      </x:c>
      <x:c r="D26" s="4" t="str">
        <x:v>Mystic Green</x:v>
      </x:c>
      <x:c r="E26" s="4" t="str">
        <x:v>QB_FN25_17</x:v>
      </x:c>
      <x:c r="F26" s="4" t="str">
        <x:v>S / Almond</x:v>
      </x:c>
      <x:c r="G26" s="4" t="str">
        <x:v>Bộ móng</x:v>
      </x:c>
      <x:c r="H26" s="4" t="n">
        <x:v>1</x:v>
      </x:c>
      <x:c r="I26" s="12" t="n">
        <x:v>20.97</x:v>
      </x:c>
      <x:c r="J26" s="4" t="n">
        <x:v>0</x:v>
      </x:c>
      <x:c r="K26" s="12" t="n">
        <x:v>0</x:v>
      </x:c>
    </x:row>
    <x:row r="27" ht="32" customHeight="1">
      <x:c r="A27" s="9" t="str">
        <x:v>#HD3751-SPF</x:v>
      </x:c>
      <x:c r="B27" s="9" t="str">
        <x:v>Thắng trong kỳ</x:v>
      </x:c>
      <x:c r="C27" s="9" t="n">
        <x:v>0</x:v>
      </x:c>
      <x:c r="D27" s="9" t="str">
        <x:v>Plum Reverie</x:v>
      </x:c>
      <x:c r="E27" s="9" t="str">
        <x:v>QB_FN26_103</x:v>
      </x:c>
      <x:c r="F27" s="9" t="str">
        <x:v>S / Short</x:v>
      </x:c>
      <x:c r="G27" s="9" t="str">
        <x:v>Bộ móng</x:v>
      </x:c>
      <x:c r="H27" s="9" t="n">
        <x:v>1</x:v>
      </x:c>
      <x:c r="I27" s="13" t="n">
        <x:v>25.87</x:v>
      </x:c>
      <x:c r="J27" s="9" t="n">
        <x:v>0</x:v>
      </x:c>
      <x:c r="K27" s="13" t="n">
        <x:v>0</x:v>
      </x:c>
    </x:row>
    <x:row r="28" ht="32" customHeight="1">
      <x:c r="A28" s="4" t="str">
        <x:v>#HD3751-SPF</x:v>
      </x:c>
      <x:c r="B28" s="4" t="str">
        <x:v>Thắng trong kỳ</x:v>
      </x:c>
      <x:c r="C28" s="4" t="n">
        <x:v>0</x:v>
      </x:c>
      <x:c r="D28" s="4" t="str">
        <x:v>Lilac Phantom</x:v>
      </x:c>
      <x:c r="E28" s="4" t="str">
        <x:v>QB_HLW26_24</x:v>
      </x:c>
      <x:c r="F28" s="4" t="str">
        <x:v>S / Short / Almond</x:v>
      </x:c>
      <x:c r="G28" s="4" t="str">
        <x:v>Bộ móng</x:v>
      </x:c>
      <x:c r="H28" s="4" t="n">
        <x:v>1</x:v>
      </x:c>
      <x:c r="I28" s="12" t="n">
        <x:v>24.47</x:v>
      </x:c>
      <x:c r="J28" s="4" t="n">
        <x:v>0</x:v>
      </x:c>
      <x:c r="K28" s="12" t="n">
        <x:v>0</x:v>
      </x:c>
    </x:row>
    <x:row r="29" ht="32" customHeight="1">
      <x:c r="A29" s="9" t="str">
        <x:v>#HD3751-SPF</x:v>
      </x:c>
      <x:c r="B29" s="9" t="str">
        <x:v>Thắng trong kỳ</x:v>
      </x:c>
      <x:c r="C29" s="9" t="n">
        <x:v>0</x:v>
      </x:c>
      <x:c r="D29" s="9" t="str">
        <x:v>Free Gift — 3in1 Nail Glue Pro Kit</x:v>
      </x:c>
      <x:c r="E29" s="9" t="str">
        <x:v>TA_03</x:v>
      </x:c>
      <x:c r="F29" s="9" t="str"/>
      <x:c r="G29" s="9" t="str">
        <x:v>Quà tặng</x:v>
      </x:c>
      <x:c r="H29" s="9" t="n">
        <x:v>1</x:v>
      </x:c>
      <x:c r="I29" s="13" t="n">
        <x:v>0</x:v>
      </x:c>
      <x:c r="J29" s="9" t="n">
        <x:v>0</x:v>
      </x:c>
      <x:c r="K29" s="13" t="n">
        <x:v>0</x:v>
      </x:c>
    </x:row>
    <x:row r="30" ht="32" customHeight="1">
      <x:c r="A30" s="4" t="str">
        <x:v>#HD3751-SPF</x:v>
      </x:c>
      <x:c r="B30" s="4" t="str">
        <x:v>Thắng trong kỳ</x:v>
      </x:c>
      <x:c r="C30" s="4" t="n">
        <x:v>0</x:v>
      </x:c>
      <x:c r="D30" s="4" t="str">
        <x:v>Free Gift — Handora Cuticle Oil Pen</x:v>
      </x:c>
      <x:c r="E30" s="4" t="str">
        <x:v>TA_02</x:v>
      </x:c>
      <x:c r="F30" s="4" t="str"/>
      <x:c r="G30" s="4" t="str">
        <x:v>Quà tặng</x:v>
      </x:c>
      <x:c r="H30" s="4" t="n">
        <x:v>1</x:v>
      </x:c>
      <x:c r="I30" s="12" t="n">
        <x:v>0</x:v>
      </x:c>
      <x:c r="J30" s="4" t="n">
        <x:v>0</x:v>
      </x:c>
      <x:c r="K30" s="12" t="n">
        <x:v>0</x:v>
      </x:c>
    </x:row>
    <x:row r="31" ht="32" customHeight="1">
      <x:c r="A31" s="9" t="str">
        <x:v>#HD3751-SPF</x:v>
      </x:c>
      <x:c r="B31" s="9" t="str">
        <x:v>Thắng trong kỳ</x:v>
      </x:c>
      <x:c r="C31" s="9" t="n">
        <x:v>0</x:v>
      </x:c>
      <x:c r="D31" s="9" t="str">
        <x:v>Amber Pumpkin</x:v>
      </x:c>
      <x:c r="E31" s="9" t="str">
        <x:v>PA_HLW26_52</x:v>
      </x:c>
      <x:c r="F31" s="9" t="str">
        <x:v>S / Short</x:v>
      </x:c>
      <x:c r="G31" s="9" t="str">
        <x:v>Bộ móng</x:v>
      </x:c>
      <x:c r="H31" s="9" t="n">
        <x:v>1</x:v>
      </x:c>
      <x:c r="I31" s="13" t="n">
        <x:v>24.47</x:v>
      </x:c>
      <x:c r="J31" s="9" t="n">
        <x:v>0</x:v>
      </x:c>
      <x:c r="K31" s="13" t="n">
        <x:v>0</x:v>
      </x:c>
    </x:row>
    <x:row r="32" ht="32" customHeight="1">
      <x:c r="A32" s="4" t="str">
        <x:v>#HD3754-SPF</x:v>
      </x:c>
      <x:c r="B32" s="4" t="str">
        <x:v>Thắng trong kỳ</x:v>
      </x:c>
      <x:c r="C32" s="4" t="n">
        <x:v>0</x:v>
      </x:c>
      <x:c r="D32" s="4" t="str">
        <x:v>Floral Sorbet</x:v>
      </x:c>
      <x:c r="E32" s="4" t="str">
        <x:v>QB_SM26_133</x:v>
      </x:c>
      <x:c r="F32" s="4" t="str">
        <x:v>M / Short</x:v>
      </x:c>
      <x:c r="G32" s="4" t="str">
        <x:v>Bộ móng</x:v>
      </x:c>
      <x:c r="H32" s="4" t="n">
        <x:v>1</x:v>
      </x:c>
      <x:c r="I32" s="12" t="n">
        <x:v>31.46</x:v>
      </x:c>
      <x:c r="J32" s="4" t="n">
        <x:v>0</x:v>
      </x:c>
      <x:c r="K32" s="12" t="n">
        <x:v>0</x:v>
      </x:c>
    </x:row>
    <x:row r="33" ht="32" customHeight="1">
      <x:c r="A33" s="9" t="str">
        <x:v>#HD3754-SPF</x:v>
      </x:c>
      <x:c r="B33" s="9" t="str">
        <x:v>Thắng trong kỳ</x:v>
      </x:c>
      <x:c r="C33" s="9" t="n">
        <x:v>0</x:v>
      </x:c>
      <x:c r="D33" s="9" t="str">
        <x:v>Tropical Summer</x:v>
      </x:c>
      <x:c r="E33" s="9" t="str">
        <x:v>QB_SM26_07</x:v>
      </x:c>
      <x:c r="F33" s="9" t="str">
        <x:v>XS / Almond / Short</x:v>
      </x:c>
      <x:c r="G33" s="9" t="str">
        <x:v>Bộ móng</x:v>
      </x:c>
      <x:c r="H33" s="9" t="n">
        <x:v>1</x:v>
      </x:c>
      <x:c r="I33" s="13" t="n">
        <x:v>31.46</x:v>
      </x:c>
      <x:c r="J33" s="9" t="n">
        <x:v>0</x:v>
      </x:c>
      <x:c r="K33" s="13" t="n">
        <x:v>0</x:v>
      </x:c>
    </x:row>
    <x:row r="34" ht="32" customHeight="1">
      <x:c r="A34" s="4" t="str">
        <x:v>#HD3201-SPF</x:v>
      </x:c>
      <x:c r="B34" s="4" t="str">
        <x:v>Tồn đọng trước kỳ</x:v>
      </x:c>
      <x:c r="C34" s="4" t="n">
        <x:v>0</x:v>
      </x:c>
      <x:c r="D34" s="4" t="str">
        <x:v>Free Gift — 3in1 Nail Glue Pro Kit</x:v>
      </x:c>
      <x:c r="E34" s="4" t="str">
        <x:v>Thiếu SKU trong đơn</x:v>
      </x:c>
      <x:c r="F34" s="4" t="str"/>
      <x:c r="G34" s="4" t="str">
        <x:v>Quà tặng</x:v>
      </x:c>
      <x:c r="H34" s="4" t="n">
        <x:v>1</x:v>
      </x:c>
      <x:c r="I34" s="12" t="n">
        <x:v>0</x:v>
      </x:c>
      <x:c r="J34" s="4" t="n">
        <x:v>0</x:v>
      </x:c>
      <x:c r="K34" s="12" t="n">
        <x:v>0</x:v>
      </x:c>
    </x:row>
    <x:row r="35" ht="32" customHeight="1">
      <x:c r="A35" s="9" t="str">
        <x:v>#HD3201-SPF</x:v>
      </x:c>
      <x:c r="B35" s="9" t="str">
        <x:v>Tồn đọng trước kỳ</x:v>
      </x:c>
      <x:c r="C35" s="9" t="n">
        <x:v>0</x:v>
      </x:c>
      <x:c r="D35" s="9" t="str">
        <x:v>Golden Amour</x:v>
      </x:c>
      <x:c r="E35" s="9" t="str">
        <x:v>NBV-2012 (14)</x:v>
      </x:c>
      <x:c r="F35" s="9" t="str">
        <x:v>M / Oval</x:v>
      </x:c>
      <x:c r="G35" s="9" t="str">
        <x:v>Bộ móng</x:v>
      </x:c>
      <x:c r="H35" s="9" t="n">
        <x:v>1</x:v>
      </x:c>
      <x:c r="I35" s="13" t="n">
        <x:v>20.97</x:v>
      </x:c>
      <x:c r="J35" s="9" t="n">
        <x:v>0</x:v>
      </x:c>
      <x:c r="K35" s="13" t="n">
        <x:v>0</x:v>
      </x:c>
    </x:row>
    <x:row r="36" ht="32" customHeight="1">
      <x:c r="A36" s="4" t="str">
        <x:v>#HD3201-SPF</x:v>
      </x:c>
      <x:c r="B36" s="4" t="str">
        <x:v>Tồn đọng trước kỳ</x:v>
      </x:c>
      <x:c r="C36" s="4" t="n">
        <x:v>0</x:v>
      </x:c>
      <x:c r="D36" s="4" t="str">
        <x:v>Cherry Velvet</x:v>
      </x:c>
      <x:c r="E36" s="4" t="str">
        <x:v>Thiếu SKU trong đơn</x:v>
      </x:c>
      <x:c r="F36" s="4" t="str">
        <x:v>M / Square / Short</x:v>
      </x:c>
      <x:c r="G36" s="4" t="str">
        <x:v>Bộ móng</x:v>
      </x:c>
      <x:c r="H36" s="4" t="n">
        <x:v>1</x:v>
      </x:c>
      <x:c r="I36" s="12" t="n">
        <x:v>17.47</x:v>
      </x:c>
      <x:c r="J36" s="4" t="n">
        <x:v>0</x:v>
      </x:c>
      <x:c r="K36" s="12" t="n">
        <x:v>0</x:v>
      </x:c>
    </x:row>
    <x:row r="37" ht="32" customHeight="1">
      <x:c r="A37" s="9" t="str">
        <x:v>#HD3201-SPF</x:v>
      </x:c>
      <x:c r="B37" s="9" t="str">
        <x:v>Tồn đọng trước kỳ</x:v>
      </x:c>
      <x:c r="C37" s="9" t="n">
        <x:v>0</x:v>
      </x:c>
      <x:c r="D37" s="9" t="str">
        <x:v>Free Gift — Handora Cuticle Oil Pen</x:v>
      </x:c>
      <x:c r="E37" s="9" t="str">
        <x:v>Thiếu SKU trong đơn</x:v>
      </x:c>
      <x:c r="F37" s="9" t="str"/>
      <x:c r="G37" s="9" t="str">
        <x:v>Quà tặng</x:v>
      </x:c>
      <x:c r="H37" s="9" t="n">
        <x:v>1</x:v>
      </x:c>
      <x:c r="I37" s="13" t="n">
        <x:v>0</x:v>
      </x:c>
      <x:c r="J37" s="9" t="n">
        <x:v>0</x:v>
      </x:c>
      <x:c r="K37" s="13" t="n">
        <x:v>0</x:v>
      </x:c>
    </x:row>
    <x:row r="38" ht="32" customHeight="1">
      <x:c r="A38" s="4" t="str">
        <x:v>#HD3201-SPF</x:v>
      </x:c>
      <x:c r="B38" s="4" t="str">
        <x:v>Tồn đọng trước kỳ</x:v>
      </x:c>
      <x:c r="C38" s="4" t="n">
        <x:v>0</x:v>
      </x:c>
      <x:c r="D38" s="4" t="str">
        <x:v>Amber Espresso</x:v>
      </x:c>
      <x:c r="E38" s="4" t="str">
        <x:v>QB_FN25_01</x:v>
      </x:c>
      <x:c r="F38" s="4" t="str">
        <x:v>M / Almond</x:v>
      </x:c>
      <x:c r="G38" s="4" t="str">
        <x:v>Bộ móng</x:v>
      </x:c>
      <x:c r="H38" s="4" t="n">
        <x:v>2</x:v>
      </x:c>
      <x:c r="I38" s="12" t="n">
        <x:v>41.94</x:v>
      </x:c>
      <x:c r="J38" s="4" t="n">
        <x:v>0</x:v>
      </x:c>
      <x:c r="K38" s="12" t="n">
        <x:v>0</x:v>
      </x:c>
    </x:row>
    <x:row r="39" ht="32" customHeight="1">
      <x:c r="A39" s="9" t="str">
        <x:v>#HD3201-SPF</x:v>
      </x:c>
      <x:c r="B39" s="9" t="str">
        <x:v>Tồn đọng trước kỳ</x:v>
      </x:c>
      <x:c r="C39" s="9" t="n">
        <x:v>0</x:v>
      </x:c>
      <x:c r="D39" s="9" t="str">
        <x:v>3M Sticky Tabs Pack</x:v>
      </x:c>
      <x:c r="E39" s="9" t="str">
        <x:v>Thiếu SKU trong đơn</x:v>
      </x:c>
      <x:c r="F39" s="9" t="str"/>
      <x:c r="G39" s="9" t="str">
        <x:v>Bộ móng</x:v>
      </x:c>
      <x:c r="H39" s="9" t="n">
        <x:v>2</x:v>
      </x:c>
      <x:c r="I39" s="13" t="n">
        <x:v>13.9</x:v>
      </x:c>
      <x:c r="J39" s="9" t="n">
        <x:v>0</x:v>
      </x:c>
      <x:c r="K39" s="13" t="n">
        <x:v>0</x:v>
      </x:c>
    </x:row>
    <x:row r="40" ht="32" customHeight="1">
      <x:c r="A40" s="4" t="str">
        <x:v>#HD3201-SPF</x:v>
      </x:c>
      <x:c r="B40" s="4" t="str">
        <x:v>Tồn đọng trước kỳ</x:v>
      </x:c>
      <x:c r="C40" s="4" t="n">
        <x:v>0</x:v>
      </x:c>
      <x:c r="D40" s="4" t="str">
        <x:v>Smoky Cat</x:v>
      </x:c>
      <x:c r="E40" s="4" t="str">
        <x:v>PA_FN26_22</x:v>
      </x:c>
      <x:c r="F40" s="4" t="str">
        <x:v>L / Short</x:v>
      </x:c>
      <x:c r="G40" s="4" t="str">
        <x:v>Bộ móng</x:v>
      </x:c>
      <x:c r="H40" s="4" t="n">
        <x:v>1</x:v>
      </x:c>
      <x:c r="I40" s="12" t="n">
        <x:v>20.97</x:v>
      </x:c>
      <x:c r="J40" s="4" t="n">
        <x:v>0</x:v>
      </x:c>
      <x:c r="K40" s="12" t="n">
        <x:v>0</x:v>
      </x:c>
    </x:row>
    <x:row r="41" ht="32" customHeight="1">
      <x:c r="A41" s="9" t="str">
        <x:v>#HD3361-SPF</x:v>
      </x:c>
      <x:c r="B41" s="9" t="str">
        <x:v>Tồn đọng trước kỳ</x:v>
      </x:c>
      <x:c r="C41" s="9" t="n">
        <x:v>0</x:v>
      </x:c>
      <x:c r="D41" s="9" t="str">
        <x:v>Spiral Hill</x:v>
      </x:c>
      <x:c r="E41" s="9" t="str">
        <x:v>PA_HLW26_24</x:v>
      </x:c>
      <x:c r="F41" s="9" t="str">
        <x:v>M / Medium</x:v>
      </x:c>
      <x:c r="G41" s="9" t="str">
        <x:v>Bộ móng</x:v>
      </x:c>
      <x:c r="H41" s="9" t="n">
        <x:v>1</x:v>
      </x:c>
      <x:c r="I41" s="13" t="n">
        <x:v>39.95</x:v>
      </x:c>
      <x:c r="J41" s="9" t="n">
        <x:v>0</x:v>
      </x:c>
      <x:c r="K41" s="13" t="n">
        <x:v>0</x:v>
      </x:c>
    </x:row>
    <x:row r="42" ht="32" customHeight="1">
      <x:c r="A42" s="4" t="str">
        <x:v>#HD3495-SPF</x:v>
      </x:c>
      <x:c r="B42" s="4" t="str">
        <x:v>Tồn đọng trước kỳ</x:v>
      </x:c>
      <x:c r="C42" s="4" t="n">
        <x:v>0</x:v>
      </x:c>
      <x:c r="D42" s="4" t="str">
        <x:v>Striped Widow</x:v>
      </x:c>
      <x:c r="E42" s="4" t="str">
        <x:v>PA_HLW26_19</x:v>
      </x:c>
      <x:c r="F42" s="4" t="str">
        <x:v>M / Medium</x:v>
      </x:c>
      <x:c r="G42" s="4" t="str">
        <x:v>Bộ móng</x:v>
      </x:c>
      <x:c r="H42" s="4" t="n">
        <x:v>1</x:v>
      </x:c>
      <x:c r="I42" s="12" t="n">
        <x:v>29.95</x:v>
      </x:c>
      <x:c r="J42" s="4" t="n">
        <x:v>0</x:v>
      </x:c>
      <x:c r="K42" s="12" t="n">
        <x:v>0</x:v>
      </x:c>
    </x:row>
    <x:row r="43" ht="32" customHeight="1">
      <x:c r="A43" s="9" t="str">
        <x:v>#HD3571-SPF</x:v>
      </x:c>
      <x:c r="B43" s="9" t="str">
        <x:v>Tồn đọng trước kỳ</x:v>
      </x:c>
      <x:c r="C43" s="9" t="n">
        <x:v>0</x:v>
      </x:c>
      <x:c r="D43" s="9" t="str">
        <x:v>Honey Jaguar</x:v>
      </x:c>
      <x:c r="E43" s="9" t="str">
        <x:v>PA_FN26_25</x:v>
      </x:c>
      <x:c r="F43" s="9" t="str">
        <x:v>M / Medium</x:v>
      </x:c>
      <x:c r="G43" s="9" t="str">
        <x:v>Bộ móng</x:v>
      </x:c>
      <x:c r="H43" s="9" t="n">
        <x:v>1</x:v>
      </x:c>
      <x:c r="I43" s="13" t="n">
        <x:v>34.95</x:v>
      </x:c>
      <x:c r="J43" s="9" t="n">
        <x:v>0</x:v>
      </x:c>
      <x:c r="K43" s="13" t="n">
        <x:v>0</x:v>
      </x:c>
    </x:row>
    <x:row r="44" ht="32" customHeight="1">
      <x:c r="A44" s="4" t="str">
        <x:v>#HD3828-SPF</x:v>
      </x:c>
      <x:c r="B44" s="4" t="str">
        <x:v>Tồn đọng trước kỳ</x:v>
      </x:c>
      <x:c r="C44" s="4" t="n">
        <x:v>0</x:v>
      </x:c>
      <x:c r="D44" s="4" t="str">
        <x:v>Mystic Sage Celestial</x:v>
      </x:c>
      <x:c r="E44" s="4" t="str">
        <x:v>QB_QB26_07</x:v>
      </x:c>
      <x:c r="F44" s="4" t="str">
        <x:v>M / Almond / Short</x:v>
      </x:c>
      <x:c r="G44" s="4" t="str">
        <x:v>Bộ móng</x:v>
      </x:c>
      <x:c r="H44" s="4" t="n">
        <x:v>1</x:v>
      </x:c>
      <x:c r="I44" s="12" t="n">
        <x:v>29.95</x:v>
      </x:c>
      <x:c r="J44" s="4" t="n">
        <x:v>0</x:v>
      </x:c>
      <x:c r="K44" s="12" t="n">
        <x:v>0</x:v>
      </x:c>
    </x:row>
    <x:row r="45" ht="32" customHeight="1">
      <x:c r="A45" s="9" t="str">
        <x:v>#HD3862-SPF</x:v>
      </x:c>
      <x:c r="B45" s="9" t="str">
        <x:v>Tồn đọng trước kỳ</x:v>
      </x:c>
      <x:c r="C45" s="9" t="n">
        <x:v>0</x:v>
      </x:c>
      <x:c r="D45" s="9" t="str">
        <x:v>Frost Nebula</x:v>
      </x:c>
      <x:c r="E45" s="9" t="str">
        <x:v>QB_QB26_42</x:v>
      </x:c>
      <x:c r="F45" s="9" t="str">
        <x:v>S / Stiletto</x:v>
      </x:c>
      <x:c r="G45" s="9" t="str">
        <x:v>Bộ móng</x:v>
      </x:c>
      <x:c r="H45" s="9" t="n">
        <x:v>1</x:v>
      </x:c>
      <x:c r="I45" s="13" t="n">
        <x:v>27.97</x:v>
      </x:c>
      <x:c r="J45" s="9" t="n">
        <x:v>0</x:v>
      </x:c>
      <x:c r="K45" s="13" t="n">
        <x:v>0</x:v>
      </x:c>
    </x:row>
    <x:row r="46" ht="32" customHeight="1">
      <x:c r="A46" s="4" t="str">
        <x:v>#HD3862-SPF</x:v>
      </x:c>
      <x:c r="B46" s="4" t="str">
        <x:v>Tồn đọng trước kỳ</x:v>
      </x:c>
      <x:c r="C46" s="4" t="n">
        <x:v>0</x:v>
      </x:c>
      <x:c r="D46" s="4" t="str">
        <x:v>Gothic Chrome</x:v>
      </x:c>
      <x:c r="E46" s="4" t="str">
        <x:v>Thiếu SKU trong đơn</x:v>
      </x:c>
      <x:c r="F46" s="4" t="str">
        <x:v>S / Stiletto</x:v>
      </x:c>
      <x:c r="G46" s="4" t="str">
        <x:v>Bộ móng</x:v>
      </x:c>
      <x:c r="H46" s="4" t="n">
        <x:v>1</x:v>
      </x:c>
      <x:c r="I46" s="12" t="n">
        <x:v>27.97</x:v>
      </x:c>
      <x:c r="J46" s="4" t="n">
        <x:v>0</x:v>
      </x:c>
      <x:c r="K46" s="12" t="n">
        <x:v>0</x:v>
      </x:c>
    </x:row>
    <x:row r="47" ht="32" customHeight="1">
      <x:c r="A47" s="9" t="str">
        <x:v>#HD3862-SPF</x:v>
      </x:c>
      <x:c r="B47" s="9" t="str">
        <x:v>Tồn đọng trước kỳ</x:v>
      </x:c>
      <x:c r="C47" s="9" t="n">
        <x:v>0</x:v>
      </x:c>
      <x:c r="D47" s="9" t="str">
        <x:v>Oceanic Fairy</x:v>
      </x:c>
      <x:c r="E47" s="9" t="str">
        <x:v>QB_SM26_160</x:v>
      </x:c>
      <x:c r="F47" s="9" t="str">
        <x:v>S / Medium</x:v>
      </x:c>
      <x:c r="G47" s="9" t="str">
        <x:v>Bộ móng</x:v>
      </x:c>
      <x:c r="H47" s="9" t="n">
        <x:v>1</x:v>
      </x:c>
      <x:c r="I47" s="13" t="n">
        <x:v>27.97</x:v>
      </x:c>
      <x:c r="J47" s="9" t="n">
        <x:v>0</x:v>
      </x:c>
      <x:c r="K47" s="13" t="n">
        <x:v>0</x:v>
      </x:c>
    </x:row>
    <x:row r="48" ht="32" customHeight="1">
      <x:c r="A48" s="4" t="str">
        <x:v>#HD3862-SPF</x:v>
      </x:c>
      <x:c r="B48" s="4" t="str">
        <x:v>Tồn đọng trước kỳ</x:v>
      </x:c>
      <x:c r="C48" s="4" t="n">
        <x:v>0</x:v>
      </x:c>
      <x:c r="D48" s="4" t="str">
        <x:v>Free Gift — 3in1 Nail Glue Pro Kit</x:v>
      </x:c>
      <x:c r="E48" s="4" t="str">
        <x:v>TA_03</x:v>
      </x:c>
      <x:c r="F48" s="4" t="str"/>
      <x:c r="G48" s="4" t="str">
        <x:v>Quà tặng</x:v>
      </x:c>
      <x:c r="H48" s="4" t="n">
        <x:v>1</x:v>
      </x:c>
      <x:c r="I48" s="12" t="n">
        <x:v>0</x:v>
      </x:c>
      <x:c r="J48" s="4" t="n">
        <x:v>0</x:v>
      </x:c>
      <x:c r="K48" s="12" t="n">
        <x:v>0</x:v>
      </x:c>
    </x:row>
    <x:row r="49" ht="32" customHeight="1">
      <x:c r="A49" s="9" t="str">
        <x:v>#HD3862-SPF</x:v>
      </x:c>
      <x:c r="B49" s="9" t="str">
        <x:v>Tồn đọng trước kỳ</x:v>
      </x:c>
      <x:c r="C49" s="9" t="n">
        <x:v>0</x:v>
      </x:c>
      <x:c r="D49" s="9" t="str">
        <x:v>Free Gift — Handora Cuticle Oil Pen</x:v>
      </x:c>
      <x:c r="E49" s="9" t="str">
        <x:v>TA_02</x:v>
      </x:c>
      <x:c r="F49" s="9" t="str"/>
      <x:c r="G49" s="9" t="str">
        <x:v>Quà tặng</x:v>
      </x:c>
      <x:c r="H49" s="9" t="n">
        <x:v>1</x:v>
      </x:c>
      <x:c r="I49" s="13" t="n">
        <x:v>0</x:v>
      </x:c>
      <x:c r="J49" s="9" t="n">
        <x:v>0</x:v>
      </x:c>
      <x:c r="K49" s="13" t="n">
        <x:v>0</x:v>
      </x:c>
    </x:row>
    <x:row r="50" ht="32" customHeight="1">
      <x:c r="A50" s="4" t="str">
        <x:v>#HD3862-SPF</x:v>
      </x:c>
      <x:c r="B50" s="4" t="str">
        <x:v>Tồn đọng trước kỳ</x:v>
      </x:c>
      <x:c r="C50" s="4" t="n">
        <x:v>0</x:v>
      </x:c>
      <x:c r="D50" s="4" t="str">
        <x:v>Dragon Eye</x:v>
      </x:c>
      <x:c r="E50" s="4" t="str">
        <x:v>QB_HLW26_29</x:v>
      </x:c>
      <x:c r="F50" s="4" t="str">
        <x:v>S / Medium / Stiletto</x:v>
      </x:c>
      <x:c r="G50" s="4" t="str">
        <x:v>Bộ móng</x:v>
      </x:c>
      <x:c r="H50" s="4" t="n">
        <x:v>1</x:v>
      </x:c>
      <x:c r="I50" s="12" t="n">
        <x:v>27.97</x:v>
      </x:c>
      <x:c r="J50" s="4" t="n">
        <x:v>0</x:v>
      </x:c>
      <x:c r="K50" s="12" t="n">
        <x:v>0</x:v>
      </x:c>
    </x:row>
    <x:row r="51" ht="32" customHeight="1">
      <x:c r="A51" s="9" t="str">
        <x:v>#HD3862-SPF</x:v>
      </x:c>
      <x:c r="B51" s="9" t="str">
        <x:v>Tồn đọng trước kỳ</x:v>
      </x:c>
      <x:c r="C51" s="9" t="n">
        <x:v>0</x:v>
      </x:c>
      <x:c r="D51" s="9" t="str">
        <x:v>Nothing Left</x:v>
      </x:c>
      <x:c r="E51" s="9" t="str">
        <x:v>QB_HLW26_04</x:v>
      </x:c>
      <x:c r="F51" s="9" t="str">
        <x:v>S / Medium</x:v>
      </x:c>
      <x:c r="G51" s="9" t="str">
        <x:v>Bộ móng</x:v>
      </x:c>
      <x:c r="H51" s="9" t="n">
        <x:v>1</x:v>
      </x:c>
      <x:c r="I51" s="13" t="n">
        <x:v>17.47</x:v>
      </x:c>
      <x:c r="J51" s="9" t="n">
        <x:v>0</x:v>
      </x:c>
      <x:c r="K51" s="13" t="n">
        <x:v>0</x:v>
      </x:c>
    </x:row>
    <x:row r="52" ht="32" customHeight="1">
      <x:c r="A52" s="4" t="str">
        <x:v>#HD3862-SPF</x:v>
      </x:c>
      <x:c r="B52" s="4" t="str">
        <x:v>Tồn đọng trước kỳ</x:v>
      </x:c>
      <x:c r="C52" s="4" t="n">
        <x:v>0</x:v>
      </x:c>
      <x:c r="D52" s="4" t="str">
        <x:v>Fatal Blood</x:v>
      </x:c>
      <x:c r="E52" s="4" t="str">
        <x:v>PA_HLW26_47</x:v>
      </x:c>
      <x:c r="F52" s="4" t="str">
        <x:v>S / Short</x:v>
      </x:c>
      <x:c r="G52" s="4" t="str">
        <x:v>Bộ móng</x:v>
      </x:c>
      <x:c r="H52" s="4" t="n">
        <x:v>1</x:v>
      </x:c>
      <x:c r="I52" s="12" t="n">
        <x:v>20.97</x:v>
      </x:c>
      <x:c r="J52" s="4" t="n">
        <x:v>0</x:v>
      </x:c>
      <x:c r="K52" s="12" t="n">
        <x:v>0</x:v>
      </x:c>
    </x:row>
    <x:row r="53" ht="32" customHeight="1">
      <x:c r="A53" s="9" t="str">
        <x:v>#HD3862-SPF</x:v>
      </x:c>
      <x:c r="B53" s="9" t="str">
        <x:v>Tồn đọng trước kỳ</x:v>
      </x:c>
      <x:c r="C53" s="9" t="n">
        <x:v>0</x:v>
      </x:c>
      <x:c r="D53" s="9" t="str">
        <x:v>Vanilla Latte</x:v>
      </x:c>
      <x:c r="E53" s="9" t="str">
        <x:v>QB_SM26_126</x:v>
      </x:c>
      <x:c r="F53" s="9" t="str">
        <x:v>S / Short</x:v>
      </x:c>
      <x:c r="G53" s="9" t="str">
        <x:v>Bộ móng</x:v>
      </x:c>
      <x:c r="H53" s="9" t="n">
        <x:v>1</x:v>
      </x:c>
      <x:c r="I53" s="13" t="n">
        <x:v>24.47</x:v>
      </x:c>
      <x:c r="J53" s="9" t="n">
        <x:v>0</x:v>
      </x:c>
      <x:c r="K53" s="13" t="n">
        <x:v>0</x:v>
      </x:c>
    </x:row>
    <x:row r="54" ht="32" customHeight="1">
      <x:c r="A54" s="4" t="str">
        <x:v>#HD4059-SPF</x:v>
      </x:c>
      <x:c r="B54" s="4" t="str">
        <x:v>Tồn đọng trước kỳ</x:v>
      </x:c>
      <x:c r="C54" s="4" t="n">
        <x:v>0</x:v>
      </x:c>
      <x:c r="D54" s="4" t="str">
        <x:v>Caramel Macchiato</x:v>
      </x:c>
      <x:c r="E54" s="4" t="str">
        <x:v>QB_SM26_123</x:v>
      </x:c>
      <x:c r="F54" s="4" t="str">
        <x:v>M / Short</x:v>
      </x:c>
      <x:c r="G54" s="4" t="str">
        <x:v>Bộ móng</x:v>
      </x:c>
      <x:c r="H54" s="4" t="n">
        <x:v>1</x:v>
      </x:c>
      <x:c r="I54" s="12" t="n">
        <x:v>24.47</x:v>
      </x:c>
      <x:c r="J54" s="4" t="n">
        <x:v>0</x:v>
      </x:c>
      <x:c r="K54" s="12" t="n">
        <x:v>0</x:v>
      </x:c>
    </x:row>
    <x:row r="55" ht="32" customHeight="1">
      <x:c r="A55" s="9" t="str">
        <x:v>#HD4059-SPF</x:v>
      </x:c>
      <x:c r="B55" s="9" t="str">
        <x:v>Tồn đọng trước kỳ</x:v>
      </x:c>
      <x:c r="C55" s="9" t="n">
        <x:v>0</x:v>
      </x:c>
      <x:c r="D55" s="9" t="str">
        <x:v>Free Gift — 3in1 Nail Glue Pro Kit</x:v>
      </x:c>
      <x:c r="E55" s="9" t="str">
        <x:v>TA_03</x:v>
      </x:c>
      <x:c r="F55" s="9" t="str"/>
      <x:c r="G55" s="9" t="str">
        <x:v>Quà tặng</x:v>
      </x:c>
      <x:c r="H55" s="9" t="n">
        <x:v>1</x:v>
      </x:c>
      <x:c r="I55" s="13" t="n">
        <x:v>0</x:v>
      </x:c>
      <x:c r="J55" s="9" t="n">
        <x:v>0</x:v>
      </x:c>
      <x:c r="K55" s="13" t="n">
        <x:v>0</x:v>
      </x:c>
    </x:row>
    <x:row r="56" ht="32" customHeight="1">
      <x:c r="A56" s="4" t="str">
        <x:v>#HD4059-SPF</x:v>
      </x:c>
      <x:c r="B56" s="4" t="str">
        <x:v>Tồn đọng trước kỳ</x:v>
      </x:c>
      <x:c r="C56" s="4" t="n">
        <x:v>0</x:v>
      </x:c>
      <x:c r="D56" s="4" t="str">
        <x:v>Coral Nectar</x:v>
      </x:c>
      <x:c r="E56" s="4" t="str">
        <x:v>QB_SM26_162</x:v>
      </x:c>
      <x:c r="F56" s="4" t="str">
        <x:v>M / Short</x:v>
      </x:c>
      <x:c r="G56" s="4" t="str">
        <x:v>Bộ móng</x:v>
      </x:c>
      <x:c r="H56" s="4" t="n">
        <x:v>1</x:v>
      </x:c>
      <x:c r="I56" s="12" t="n">
        <x:v>24.47</x:v>
      </x:c>
      <x:c r="J56" s="4" t="n">
        <x:v>0</x:v>
      </x:c>
      <x:c r="K56" s="12" t="n">
        <x:v>0</x:v>
      </x:c>
    </x:row>
    <x:row r="57" ht="32" customHeight="1">
      <x:c r="A57" s="9" t="str">
        <x:v>#HD4059-SPF</x:v>
      </x:c>
      <x:c r="B57" s="9" t="str">
        <x:v>Tồn đọng trước kỳ</x:v>
      </x:c>
      <x:c r="C57" s="9" t="n">
        <x:v>0</x:v>
      </x:c>
      <x:c r="D57" s="9" t="str">
        <x:v>Matcha Latte</x:v>
      </x:c>
      <x:c r="E57" s="9" t="str">
        <x:v>QB_SM26_124</x:v>
      </x:c>
      <x:c r="F57" s="9" t="str">
        <x:v>M / Short</x:v>
      </x:c>
      <x:c r="G57" s="9" t="str">
        <x:v>Bộ móng</x:v>
      </x:c>
      <x:c r="H57" s="9" t="n">
        <x:v>1</x:v>
      </x:c>
      <x:c r="I57" s="13" t="n">
        <x:v>24.47</x:v>
      </x:c>
      <x:c r="J57" s="9" t="n">
        <x:v>0</x:v>
      </x:c>
      <x:c r="K57" s="13" t="n">
        <x:v>0</x:v>
      </x:c>
    </x:row>
    <x:row r="58" ht="32" customHeight="1">
      <x:c r="A58" s="4" t="str">
        <x:v>#HD4059-SPF</x:v>
      </x:c>
      <x:c r="B58" s="4" t="str">
        <x:v>Tồn đọng trước kỳ</x:v>
      </x:c>
      <x:c r="C58" s="4" t="n">
        <x:v>0</x:v>
      </x:c>
      <x:c r="D58" s="4" t="str">
        <x:v>Free Gift — Handora Cuticle Oil Pen</x:v>
      </x:c>
      <x:c r="E58" s="4" t="str">
        <x:v>TA_02</x:v>
      </x:c>
      <x:c r="F58" s="4" t="str"/>
      <x:c r="G58" s="4" t="str">
        <x:v>Quà tặng</x:v>
      </x:c>
      <x:c r="H58" s="4" t="n">
        <x:v>1</x:v>
      </x:c>
      <x:c r="I58" s="12" t="n">
        <x:v>0</x:v>
      </x:c>
      <x:c r="J58" s="4" t="n">
        <x:v>0</x:v>
      </x:c>
      <x:c r="K58" s="12" t="n">
        <x:v>0</x:v>
      </x:c>
    </x:row>
    <x:row r="59" ht="32" customHeight="1">
      <x:c r="A59" s="9" t="str">
        <x:v>#HD4059-SPF</x:v>
      </x:c>
      <x:c r="B59" s="9" t="str">
        <x:v>Tồn đọng trước kỳ</x:v>
      </x:c>
      <x:c r="C59" s="9" t="n">
        <x:v>0</x:v>
      </x:c>
      <x:c r="D59" s="9" t="str">
        <x:v>Amber Espresso</x:v>
      </x:c>
      <x:c r="E59" s="9" t="str">
        <x:v>QB_FN25_01</x:v>
      </x:c>
      <x:c r="F59" s="9" t="str">
        <x:v>M / Almond</x:v>
      </x:c>
      <x:c r="G59" s="9" t="str">
        <x:v>Bộ móng</x:v>
      </x:c>
      <x:c r="H59" s="9" t="n">
        <x:v>1</x:v>
      </x:c>
      <x:c r="I59" s="13" t="n">
        <x:v>20.97</x:v>
      </x:c>
      <x:c r="J59" s="9" t="n">
        <x:v>0</x:v>
      </x:c>
      <x:c r="K59" s="13" t="n">
        <x:v>0</x:v>
      </x:c>
    </x:row>
    <x:row r="60" ht="32" customHeight="1">
      <x:c r="A60" s="4" t="str">
        <x:v>#HD4059-SPF</x:v>
      </x:c>
      <x:c r="B60" s="4" t="str">
        <x:v>Tồn đọng trước kỳ</x:v>
      </x:c>
      <x:c r="C60" s="4" t="n">
        <x:v>0</x:v>
      </x:c>
      <x:c r="D60" s="4" t="str">
        <x:v>Dracudogs</x:v>
      </x:c>
      <x:c r="E60" s="4" t="str">
        <x:v>PA_HLW26_18</x:v>
      </x:c>
      <x:c r="F60" s="4" t="str">
        <x:v>M / Short / Beagle</x:v>
      </x:c>
      <x:c r="G60" s="4" t="str">
        <x:v>Bộ móng</x:v>
      </x:c>
      <x:c r="H60" s="4" t="n">
        <x:v>1</x:v>
      </x:c>
      <x:c r="I60" s="12" t="n">
        <x:v>27.97</x:v>
      </x:c>
      <x:c r="J60" s="4" t="n">
        <x:v>0</x:v>
      </x:c>
      <x:c r="K60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2b721eb20f46d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30" hidden="0" customWidth="1"/>
    <x:col min="4" max="4" width="36" hidden="0" customWidth="1"/>
    <x:col min="5" max="5" width="120" hidden="0" customWidth="1"/>
    <x:col min="6" max="6" width="63" hidden="0" customWidth="1"/>
    <x:col min="7" max="7" width="18" hidden="0" customWidth="1"/>
  </x:cols>
  <x:sheetData>
    <x:row r="2">
      <x:c r="A2" s="1" t="str">
        <x:v>Bằng chứng và diễn biến từ Shopify</x:v>
      </x:c>
    </x:row>
    <x:row r="3">
      <x:c r="A3" s="2" t="str">
        <x:v>Mốc ngày: America/Los_Angeles (PDT, UTC−7). Giá trị: USD. Cập nhật 12/10/2026 10:09 UTC+7.</x:v>
      </x:c>
    </x:row>
    <x:row r="5" ht="42" customHeight="1">
      <x:c r="A5" s="8" t="str">
        <x:v>Đơn</x:v>
      </x:c>
      <x:c r="B5" s="8" t="str">
        <x:v>Ngày giờ PDT</x:v>
      </x:c>
      <x:c r="C5" s="8" t="str">
        <x:v>Ngày giờ UTC gốc</x:v>
      </x:c>
      <x:c r="D5" s="8" t="str">
        <x:v>Action</x:v>
      </x:c>
      <x:c r="E5" s="8" t="str">
        <x:v>Nội dung gốc</x:v>
      </x:c>
      <x:c r="F5" s="8" t="str">
        <x:v>ID bằng chứng</x:v>
      </x:c>
      <x:c r="G5" s="8" t="str">
        <x:v>Phạm vi</x:v>
      </x:c>
    </x:row>
    <x:row r="6" ht="44" customHeight="1">
      <x:c r="A6" s="4" t="str">
        <x:v>#HD4607-SPF</x:v>
      </x:c>
      <x:c r="B6" s="14" t="n">
        <x:v>46296.88414351852</x:v>
      </x:c>
      <x:c r="C6" s="18" t="d">
        <x:v>2026-10-02T04:13:10.000Z</x:v>
      </x:c>
      <x:c r="D6" s="4" t="str">
        <x:v>refund_pending</x:v>
      </x:c>
      <x:c r="E6" s="10" t="str">
        <x:v>A $41.91 USD refund is pending.</x:v>
      </x:c>
      <x:c r="F6" s="4" t="str">
        <x:v>gid://shopify/BasicEvent/298937959219296</x:v>
      </x:c>
      <x:c r="G6" s="4" t="str">
        <x:v>Trong kỳ</x:v>
      </x:c>
    </x:row>
    <x:row r="7" ht="44" customHeight="1">
      <x:c r="A7" s="9" t="str">
        <x:v>#HD4607-SPF</x:v>
      </x:c>
      <x:c r="B7" s="15" t="n">
        <x:v>46296.88414351852</x:v>
      </x:c>
      <x:c r="C7" s="19" t="d">
        <x:v>2026-10-02T04:13:10.000Z</x:v>
      </x:c>
      <x:c r="D7" s="9" t="str">
        <x:v>refund_restock</x:v>
      </x:c>
      <x:c r="E7" s="11" t="str">
        <x:v>You restocked 1 item at 1 location.</x:v>
      </x:c>
      <x:c r="F7" s="9" t="str">
        <x:v>gid://shopify/BasicEvent/298937959481440</x:v>
      </x:c>
      <x:c r="G7" s="9" t="str">
        <x:v>Trong kỳ</x:v>
      </x:c>
    </x:row>
    <x:row r="8" ht="44" customHeight="1">
      <x:c r="A8" s="4" t="str">
        <x:v>#HD4607-SPF</x:v>
      </x:c>
      <x:c r="B8" s="14" t="n">
        <x:v>46296.88414351852</x:v>
      </x:c>
      <x:c r="C8" s="18" t="d">
        <x:v>2026-10-02T04:13:10.000Z</x:v>
      </x:c>
      <x:c r="D8" s="4" t="str">
        <x:v>refund_created</x:v>
      </x:c>
      <x:c r="E8" s="10" t="str">
        <x:v>You refunded 1 item and shipping.</x:v>
      </x:c>
      <x:c r="F8" s="4" t="str">
        <x:v>gid://shopify/BasicEvent/298937959579744</x:v>
      </x:c>
      <x:c r="G8" s="4" t="str">
        <x:v>Trong kỳ</x:v>
      </x:c>
    </x:row>
    <x:row r="9" ht="44" customHeight="1">
      <x:c r="A9" s="9" t="str">
        <x:v>#HD4607-SPF</x:v>
      </x:c>
      <x:c r="B9" s="15" t="n">
        <x:v>46296.88415509259</x:v>
      </x:c>
      <x:c r="C9" s="19" t="d">
        <x:v>2026-10-02T04:13:11.000Z</x:v>
      </x:c>
      <x:c r="D9" s="9" t="str">
        <x:v>mail_sent</x:v>
      </x:c>
      <x:c r="E9" s="11" t="str">
        <x:v>You sent a refund notification email to Kayla Collins (kaylacollins1808@gmail.com).</x:v>
      </x:c>
      <x:c r="F9" s="9" t="str">
        <x:v>gid://shopify/NotificationSentEvent/298937959743584</x:v>
      </x:c>
      <x:c r="G9" s="9" t="str">
        <x:v>Trong kỳ</x:v>
      </x:c>
    </x:row>
    <x:row r="10" ht="44" customHeight="1">
      <x:c r="A10" s="4" t="str">
        <x:v>#HD4607-SPF</x:v>
      </x:c>
      <x:c r="B10" s="14" t="n">
        <x:v>46297.88591435185</x:v>
      </x:c>
      <x:c r="C10" s="18" t="d">
        <x:v>2026-10-03T04:15:43.000Z</x:v>
      </x:c>
      <x:c r="D10" s="4" t="str">
        <x:v>refund_success</x:v>
      </x:c>
      <x:c r="E10" s="10" t="str">
        <x:v>$41.91 USD was refunded using a Mastercard ending in 2664 via Apple Pay.</x:v>
      </x:c>
      <x:c r="F10" s="4" t="str">
        <x:v>gid://shopify/BasicEvent/299010502492256</x:v>
      </x:c>
      <x:c r="G10" s="4" t="str">
        <x:v>Trong kỳ</x:v>
      </x:c>
    </x:row>
    <x:row r="11" ht="44" customHeight="1">
      <x:c r="A11" s="9" t="str">
        <x:v>#HD4607-SPF</x:v>
      </x:c>
      <x:c r="B11" s="15" t="n">
        <x:v>46297.88591435185</x:v>
      </x:c>
      <x:c r="C11" s="19" t="d">
        <x:v>2026-10-03T04:15:43.000Z</x:v>
      </x:c>
      <x:c r="D11" s="9" t="str">
        <x:v>payments_refund</x:v>
      </x:c>
      <x:c r="E11" s="11" t="str">
        <x:v>$41.91 USD refund will be deducted from your Oct 6, 2026 payout.</x:v>
      </x:c>
      <x:c r="F11" s="9" t="str">
        <x:v>gid://shopify/BasicEvent/299010502557792</x:v>
      </x:c>
      <x:c r="G11" s="9" t="str">
        <x:v>Trong kỳ</x:v>
      </x:c>
    </x:row>
    <x:row r="12" ht="44" customHeight="1">
      <x:c r="A12" s="4" t="str">
        <x:v>#HD4607-SPF</x:v>
      </x:c>
      <x:c r="B12" s="14" t="n">
        <x:v>46299.71905092592</x:v>
      </x:c>
      <x:c r="C12" s="18" t="d">
        <x:v>2026-10-05T00:15:26.000Z</x:v>
      </x:c>
      <x:c r="D12" s="4" t="str">
        <x:v>payments_refund</x:v>
      </x:c>
      <x:c r="E12" s="10" t="str">
        <x:v>$41.91 USD refund was deducted from your Oct 6, 2026 payout.</x:v>
      </x:c>
      <x:c r="F12" s="4" t="str">
        <x:v>gid://shopify/BasicEvent/299112541028448</x:v>
      </x:c>
      <x:c r="G12" s="4" t="str">
        <x:v>Trong kỳ</x:v>
      </x:c>
    </x:row>
    <x:row r="13" ht="44" customHeight="1">
      <x:c r="A13" s="9" t="str">
        <x:v>#HD4607-SPF</x:v>
      </x:c>
      <x:c r="B13" s="15" t="n">
        <x:v>46296.88414351852</x:v>
      </x:c>
      <x:c r="C13" s="19" t="d">
        <x:v>2026-10-02T04:13:10.000Z</x:v>
      </x:c>
      <x:c r="D13" s="9" t="str">
        <x:v>refund_note</x:v>
      </x:c>
      <x:c r="E13" s="11" t="str">
        <x:v>Khách nhấn mua nhầm và yêu cầu hoàn tiền. Khách bảo là sẽ mua lại trong tương lai</x:v>
      </x:c>
      <x:c r="F13" s="9" t="str">
        <x:v>gid://shopify/Refund/1111436525664</x:v>
      </x:c>
      <x:c r="G13" s="9" t="str">
        <x:v>Trong kỳ</x:v>
      </x:c>
    </x:row>
    <x:row r="14" ht="44" customHeight="1">
      <x:c r="A14" s="4" t="str">
        <x:v>#HD3910-SPF</x:v>
      </x:c>
      <x:c r="B14" s="14" t="n">
        <x:v>46301.992430555554</x:v>
      </x:c>
      <x:c r="C14" s="18" t="d">
        <x:v>2026-10-07T06:49:06.000Z</x:v>
      </x:c>
      <x:c r="D14" s="4" t="str">
        <x:v>refund_success</x:v>
      </x:c>
      <x:c r="E14" s="10" t="str">
        <x:v>You refunded $77.32 USD to Shop Pay Installments.</x:v>
      </x:c>
      <x:c r="F14" s="4" t="str">
        <x:v>gid://shopify/BasicEvent/299234580889696</x:v>
      </x:c>
      <x:c r="G14" s="4" t="str">
        <x:v>Trong kỳ</x:v>
      </x:c>
    </x:row>
    <x:row r="15" ht="44" customHeight="1">
      <x:c r="A15" s="9" t="str">
        <x:v>#HD3910-SPF</x:v>
      </x:c>
      <x:c r="B15" s="15" t="n">
        <x:v>46301.99244212963</x:v>
      </x:c>
      <x:c r="C15" s="19" t="d">
        <x:v>2026-10-07T06:49:07.000Z</x:v>
      </x:c>
      <x:c r="D15" s="9" t="str">
        <x:v>refund_restock</x:v>
      </x:c>
      <x:c r="E15" s="11" t="str">
        <x:v>You restocked 2 items at 1 location.</x:v>
      </x:c>
      <x:c r="F15" s="9" t="str">
        <x:v>gid://shopify/BasicEvent/299234581151840</x:v>
      </x:c>
      <x:c r="G15" s="9" t="str">
        <x:v>Trong kỳ</x:v>
      </x:c>
    </x:row>
    <x:row r="16" ht="44" customHeight="1">
      <x:c r="A16" s="4" t="str">
        <x:v>#HD3910-SPF</x:v>
      </x:c>
      <x:c r="B16" s="14" t="n">
        <x:v>46301.99244212963</x:v>
      </x:c>
      <x:c r="C16" s="18" t="d">
        <x:v>2026-10-07T06:49:07.000Z</x:v>
      </x:c>
      <x:c r="D16" s="4" t="str">
        <x:v>payments_refund</x:v>
      </x:c>
      <x:c r="E16" s="10" t="str">
        <x:v>$77.32 USD refund will be deducted from your Oct 9, 2026 payout.</x:v>
      </x:c>
      <x:c r="F16" s="4" t="str">
        <x:v>gid://shopify/BasicEvent/299234581250144</x:v>
      </x:c>
      <x:c r="G16" s="4" t="str">
        <x:v>Trong kỳ</x:v>
      </x:c>
    </x:row>
    <x:row r="17" ht="44" customHeight="1">
      <x:c r="A17" s="9" t="str">
        <x:v>#HD3910-SPF</x:v>
      </x:c>
      <x:c r="B17" s="15" t="n">
        <x:v>46301.99244212963</x:v>
      </x:c>
      <x:c r="C17" s="19" t="d">
        <x:v>2026-10-07T06:49:07.000Z</x:v>
      </x:c>
      <x:c r="D17" s="9" t="str">
        <x:v>refund_created</x:v>
      </x:c>
      <x:c r="E17" s="11" t="str">
        <x:v>You refunded 2 items.</x:v>
      </x:c>
      <x:c r="F17" s="9" t="str">
        <x:v>gid://shopify/BasicEvent/299234581282912</x:v>
      </x:c>
      <x:c r="G17" s="9" t="str">
        <x:v>Trong kỳ</x:v>
      </x:c>
    </x:row>
    <x:row r="18" ht="44" customHeight="1">
      <x:c r="A18" s="4" t="str">
        <x:v>#HD3910-SPF</x:v>
      </x:c>
      <x:c r="B18" s="14" t="n">
        <x:v>46301.99244212963</x:v>
      </x:c>
      <x:c r="C18" s="18" t="d">
        <x:v>2026-10-07T06:49:07.000Z</x:v>
      </x:c>
      <x:c r="D18" s="4" t="str">
        <x:v>mail_sent</x:v>
      </x:c>
      <x:c r="E18" s="10" t="str">
        <x:v>You sent a refund notification email to Allison Holt (marie.holt128@gmail.com).</x:v>
      </x:c>
      <x:c r="F18" s="4" t="str">
        <x:v>gid://shopify/NotificationSentEvent/299234581479520</x:v>
      </x:c>
      <x:c r="G18" s="4" t="str">
        <x:v>Trong kỳ</x:v>
      </x:c>
    </x:row>
    <x:row r="19" ht="44" customHeight="1">
      <x:c r="A19" s="9" t="str">
        <x:v>#HD3910-SPF</x:v>
      </x:c>
      <x:c r="B19" s="15" t="n">
        <x:v>46302.73082175926</x:v>
      </x:c>
      <x:c r="C19" s="19" t="d">
        <x:v>2026-10-08T00:32:23.000Z</x:v>
      </x:c>
      <x:c r="D19" s="9" t="str">
        <x:v>payments_refund</x:v>
      </x:c>
      <x:c r="E19" s="11" t="str">
        <x:v>$77.32 USD refund was deducted from your Oct 9, 2026 payout.</x:v>
      </x:c>
      <x:c r="F19" s="9" t="str">
        <x:v>gid://shopify/BasicEvent/299289630015584</x:v>
      </x:c>
      <x:c r="G19" s="9" t="str">
        <x:v>Trong kỳ</x:v>
      </x:c>
    </x:row>
    <x:row r="20" ht="44" customHeight="1">
      <x:c r="A20" s="4" t="str">
        <x:v>#HD3910-SPF</x:v>
      </x:c>
      <x:c r="B20" s="14" t="n">
        <x:v>46301.99244212963</x:v>
      </x:c>
      <x:c r="C20" s="18" t="d">
        <x:v>2026-10-07T06:49:07.000Z</x:v>
      </x:c>
      <x:c r="D20" s="4" t="str">
        <x:v>refund_note</x:v>
      </x:c>
      <x:c r="E20" s="10" t="str">
        <x:v>Hơn 1 tháng mới ship đến nơi nên khách không cần nữa</x:v>
      </x:c>
      <x:c r="F20" s="4" t="str">
        <x:v>gid://shopify/Refund/1111942791264</x:v>
      </x:c>
      <x:c r="G20" s="4" t="str">
        <x:v>Trong kỳ</x:v>
      </x:c>
    </x:row>
    <x:row r="21" ht="44" customHeight="1">
      <x:c r="A21" s="9" t="str">
        <x:v>#HD4072-SPF</x:v>
      </x:c>
      <x:c r="B21" s="15" t="n">
        <x:v>46302.788194444445</x:v>
      </x:c>
      <x:c r="C21" s="19" t="d">
        <x:v>2026-10-08T01:55:00.000Z</x:v>
      </x:c>
      <x:c r="D21" s="9" t="str">
        <x:v>refund_success</x:v>
      </x:c>
      <x:c r="E21" s="11" t="str">
        <x:v>You refunded $118.85 USD to Shop Pay Installments.</x:v>
      </x:c>
      <x:c r="F21" s="9" t="str">
        <x:v>gid://shopify/BasicEvent/299292451766368</x:v>
      </x:c>
      <x:c r="G21" s="9" t="str">
        <x:v>Trong kỳ</x:v>
      </x:c>
    </x:row>
    <x:row r="22" ht="44" customHeight="1">
      <x:c r="A22" s="4" t="str">
        <x:v>#HD4072-SPF</x:v>
      </x:c>
      <x:c r="B22" s="14" t="n">
        <x:v>46302.78820601852</x:v>
      </x:c>
      <x:c r="C22" s="18" t="d">
        <x:v>2026-10-08T01:55:01.000Z</x:v>
      </x:c>
      <x:c r="D22" s="4" t="str">
        <x:v>refund_restock</x:v>
      </x:c>
      <x:c r="E22" s="10" t="str">
        <x:v>You restocked 5 items at 1 location.</x:v>
      </x:c>
      <x:c r="F22" s="4" t="str">
        <x:v>gid://shopify/BasicEvent/299292452192352</x:v>
      </x:c>
      <x:c r="G22" s="4" t="str">
        <x:v>Trong kỳ</x:v>
      </x:c>
    </x:row>
    <x:row r="23" ht="44" customHeight="1">
      <x:c r="A23" s="9" t="str">
        <x:v>#HD4072-SPF</x:v>
      </x:c>
      <x:c r="B23" s="15" t="n">
        <x:v>46302.78820601852</x:v>
      </x:c>
      <x:c r="C23" s="19" t="d">
        <x:v>2026-10-08T01:55:01.000Z</x:v>
      </x:c>
      <x:c r="D23" s="9" t="str">
        <x:v>payments_refund</x:v>
      </x:c>
      <x:c r="E23" s="11" t="str">
        <x:v>$118.85 USD refund will be deducted from your Oct 13, 2026 payout.</x:v>
      </x:c>
      <x:c r="F23" s="9" t="str">
        <x:v>gid://shopify/BasicEvent/299292452454496</x:v>
      </x:c>
      <x:c r="G23" s="9" t="str">
        <x:v>Trong kỳ</x:v>
      </x:c>
    </x:row>
    <x:row r="24" ht="44" customHeight="1">
      <x:c r="A24" s="4" t="str">
        <x:v>#HD4072-SPF</x:v>
      </x:c>
      <x:c r="B24" s="14" t="n">
        <x:v>46302.78820601852</x:v>
      </x:c>
      <x:c r="C24" s="18" t="d">
        <x:v>2026-10-08T01:55:01.000Z</x:v>
      </x:c>
      <x:c r="D24" s="4" t="str">
        <x:v>refund_created</x:v>
      </x:c>
      <x:c r="E24" s="10" t="str">
        <x:v>You refunded 5 items.</x:v>
      </x:c>
      <x:c r="F24" s="4" t="str">
        <x:v>gid://shopify/BasicEvent/299292452487264</x:v>
      </x:c>
      <x:c r="G24" s="4" t="str">
        <x:v>Trong kỳ</x:v>
      </x:c>
    </x:row>
    <x:row r="25" ht="44" customHeight="1">
      <x:c r="A25" s="9" t="str">
        <x:v>#HD4072-SPF</x:v>
      </x:c>
      <x:c r="B25" s="15" t="n">
        <x:v>46302.78820601852</x:v>
      </x:c>
      <x:c r="C25" s="19" t="d">
        <x:v>2026-10-08T01:55:01.000Z</x:v>
      </x:c>
      <x:c r="D25" s="9" t="str">
        <x:v>mail_sent</x:v>
      </x:c>
      <x:c r="E25" s="11" t="str">
        <x:v>You sent a refund notification email to Kylie Julian (kyliejulian@hotmail.com).</x:v>
      </x:c>
      <x:c r="F25" s="9" t="str">
        <x:v>gid://shopify/NotificationSentEvent/299292452552800</x:v>
      </x:c>
      <x:c r="G25" s="9" t="str">
        <x:v>Trong kỳ</x:v>
      </x:c>
    </x:row>
    <x:row r="26" ht="44" customHeight="1">
      <x:c r="A26" s="4" t="str">
        <x:v>#HD4072-SPF</x:v>
      </x:c>
      <x:c r="B26" s="14" t="n">
        <x:v>46306.72386574074</x:v>
      </x:c>
      <x:c r="C26" s="18" t="d">
        <x:v>2026-10-12T00:22:22.000Z</x:v>
      </x:c>
      <x:c r="D26" s="4" t="str">
        <x:v>payments_refund</x:v>
      </x:c>
      <x:c r="E26" s="10" t="str">
        <x:v>$118.85 USD refund was deducted from your Oct 13, 2026 payout.</x:v>
      </x:c>
      <x:c r="F26" s="4" t="str">
        <x:v>gid://shopify/BasicEvent/299519172247648</x:v>
      </x:c>
      <x:c r="G26" s="4" t="str">
        <x:v>Trong kỳ</x:v>
      </x:c>
    </x:row>
    <x:row r="27" ht="44" customHeight="1">
      <x:c r="A27" s="9" t="str">
        <x:v>#HD4072-SPF</x:v>
      </x:c>
      <x:c r="B27" s="15" t="n">
        <x:v>46302.788194444445</x:v>
      </x:c>
      <x:c r="C27" s="19" t="d">
        <x:v>2026-10-08T01:55:00.000Z</x:v>
      </x:c>
      <x:c r="D27" s="9" t="str">
        <x:v>refund_note</x:v>
      </x:c>
      <x:c r="E27" s="11" t="str">
        <x:v>Thất lạc</x:v>
      </x:c>
      <x:c r="F27" s="9" t="str">
        <x:v>gid://shopify/Refund/1112070389856</x:v>
      </x:c>
      <x:c r="G27" s="9" t="str">
        <x:v>Trong kỳ</x:v>
      </x:c>
    </x:row>
    <x:row r="28" ht="44" customHeight="1">
      <x:c r="A28" s="4" t="str">
        <x:v>#HD4324-SPF</x:v>
      </x:c>
      <x:c r="B28" s="14" t="n">
        <x:v>46298.23800925926</x:v>
      </x:c>
      <x:c r="C28" s="18" t="d">
        <x:v>2026-10-03T12:42:44.000Z</x:v>
      </x:c>
      <x:c r="D28" s="4" t="str">
        <x:v>dispute_created</x:v>
      </x:c>
      <x:c r="E28" s="10" t="str">
        <x:v>The customer opened a chargeback totaling $73.85.</x:v>
      </x:c>
      <x:c r="F28" s="4" t="str">
        <x:v>gid://shopify/BasicEvent/299053729185888</x:v>
      </x:c>
      <x:c r="G28" s="4" t="str">
        <x:v>Trong kỳ</x:v>
      </x:c>
    </x:row>
    <x:row r="29" ht="44" customHeight="1">
      <x:c r="A29" s="9" t="str">
        <x:v>#HD4324-SPF</x:v>
      </x:c>
      <x:c r="B29" s="15" t="n">
        <x:v>46298.70998842592</x:v>
      </x:c>
      <x:c r="C29" s="19" t="d">
        <x:v>2026-10-04T00:02:23.000Z</x:v>
      </x:c>
      <x:c r="D29" s="9" t="str">
        <x:v>payments_adjustment</x:v>
      </x:c>
      <x:c r="E29" s="11" t="str">
        <x:v>$73.85 USD was deducted from your Oct 5, 2026 payout because of a chargeback.</x:v>
      </x:c>
      <x:c r="F29" s="9" t="str">
        <x:v>gid://shopify/BasicEvent/299085385531488</x:v>
      </x:c>
      <x:c r="G29" s="9" t="str">
        <x:v>Trong kỳ</x:v>
      </x:c>
    </x:row>
    <x:row r="30" ht="44" customHeight="1">
      <x:c r="A30" s="4" t="str">
        <x:v>#HD4359-SPF</x:v>
      </x:c>
      <x:c r="B30" s="14" t="n">
        <x:v>46304.25085648148</x:v>
      </x:c>
      <x:c r="C30" s="18" t="d">
        <x:v>2026-10-09T13:01:14.000Z</x:v>
      </x:c>
      <x:c r="D30" s="4" t="str">
        <x:v>payments_adjustment</x:v>
      </x:c>
      <x:c r="E30" s="10" t="str">
        <x:v>$45.90 USD will be deducted from your next payout because of a chargeback.</x:v>
      </x:c>
      <x:c r="F30" s="4" t="str">
        <x:v>gid://shopify/BasicEvent/299410424397920</x:v>
      </x:c>
      <x:c r="G30" s="4" t="str">
        <x:v>Trong kỳ</x:v>
      </x:c>
    </x:row>
    <x:row r="31" ht="44" customHeight="1">
      <x:c r="A31" s="9" t="str">
        <x:v>#HD4359-SPF</x:v>
      </x:c>
      <x:c r="B31" s="15" t="n">
        <x:v>46304.26128472222</x:v>
      </x:c>
      <x:c r="C31" s="19" t="d">
        <x:v>2026-10-09T13:16:15.000Z</x:v>
      </x:c>
      <x:c r="D31" s="9" t="str">
        <x:v>seller_protection_dispute_not_covered</x:v>
      </x:c>
      <x:c r="E31" s="11" t="str">
        <x:v>A chargeback totaling $45.90 USD was not protected by Shopify Protect because it was not fraudulent.</x:v>
      </x:c>
      <x:c r="F31" s="9" t="str">
        <x:v>gid://shopify/BasicEvent/299413779120224</x:v>
      </x:c>
      <x:c r="G31" s="9" t="str">
        <x:v>Trong kỳ</x:v>
      </x:c>
    </x:row>
    <x:row r="32" ht="44" customHeight="1">
      <x:c r="A32" s="4" t="str">
        <x:v>#HD4359-SPF</x:v>
      </x:c>
      <x:c r="B32" s="14" t="n">
        <x:v>46306.72386574074</x:v>
      </x:c>
      <x:c r="C32" s="18" t="d">
        <x:v>2026-10-12T00:22:22.000Z</x:v>
      </x:c>
      <x:c r="D32" s="4" t="str">
        <x:v>payments_adjustment</x:v>
      </x:c>
      <x:c r="E32" s="10" t="str">
        <x:v>$45.90 USD was deducted from your Oct 13, 2026 payout because of a chargeback.</x:v>
      </x:c>
      <x:c r="F32" s="4" t="str">
        <x:v>gid://shopify/BasicEvent/299519172411488</x:v>
      </x:c>
      <x:c r="G32" s="4" t="str">
        <x:v>Trong kỳ</x:v>
      </x:c>
    </x:row>
    <x:row r="33" ht="44" customHeight="1">
      <x:c r="A33" s="9" t="str">
        <x:v>#HD4452-SPF</x:v>
      </x:c>
      <x:c r="B33" s="15" t="n">
        <x:v>46305.867986111116</x:v>
      </x:c>
      <x:c r="C33" s="19" t="d">
        <x:v>2026-10-11T03:49:54.000Z</x:v>
      </x:c>
      <x:c r="D33" s="9" t="str">
        <x:v>dispute_inquiry_created</x:v>
      </x:c>
      <x:c r="E33" s="11" t="str">
        <x:v>ivonne macewen opened an inquiry for $54.63.</x:v>
      </x:c>
      <x:c r="F33" s="9" t="str">
        <x:v>gid://shopify/BasicEvent/299488856440928</x:v>
      </x:c>
      <x:c r="G33" s="9" t="str">
        <x:v>Trong kỳ</x:v>
      </x:c>
    </x:row>
    <x:row r="34" ht="44" customHeight="1">
      <x:c r="A34" s="4" t="str">
        <x:v>#HD4452-SPF</x:v>
      </x:c>
      <x:c r="B34" s="14" t="n">
        <x:v>46305.86917824074</x:v>
      </x:c>
      <x:c r="C34" s="18" t="d">
        <x:v>2026-10-11T03:51:37.000Z</x:v>
      </x:c>
      <x:c r="D34" s="4" t="str">
        <x:v>dispute_inquiry_needs_response</x:v>
      </x:c>
      <x:c r="E34" s="10" t="str">
        <x:v>The inquiry totaling $54.63 needs a response.</x:v>
      </x:c>
      <x:c r="F34" s="4" t="str">
        <x:v>gid://shopify/BasicEvent/299488876429408</x:v>
      </x:c>
      <x:c r="G34" s="4" t="str">
        <x:v>Trong kỳ</x:v>
      </x:c>
    </x:row>
    <x:row r="35" ht="44" customHeight="1">
      <x:c r="A35" s="9" t="str">
        <x:v>#HD3751-SPF</x:v>
      </x:c>
      <x:c r="B35" s="15" t="n">
        <x:v>46291.822384259256</x:v>
      </x:c>
      <x:c r="C35" s="19" t="d">
        <x:v>2026-09-27T02:44:14.000Z</x:v>
      </x:c>
      <x:c r="D35" s="9" t="str">
        <x:v>payments_adjustment</x:v>
      </x:c>
      <x:c r="E35" s="11" t="str">
        <x:v>$148.40 USD will be deducted from your next payout because of a chargeback.</x:v>
      </x:c>
      <x:c r="F35" s="9" t="str">
        <x:v>gid://shopify/BasicEvent/176527058829408</x:v>
      </x:c>
      <x:c r="G35" s="9" t="str">
        <x:v>Trước kỳ</x:v>
      </x:c>
    </x:row>
    <x:row r="36" ht="44" customHeight="1">
      <x:c r="A36" s="4" t="str">
        <x:v>#HD3751-SPF</x:v>
      </x:c>
      <x:c r="B36" s="14" t="n">
        <x:v>46291.83280092593</x:v>
      </x:c>
      <x:c r="C36" s="18" t="d">
        <x:v>2026-09-27T02:59:14.000Z</x:v>
      </x:c>
      <x:c r="D36" s="4" t="str">
        <x:v>seller_protection_dispute_not_covered</x:v>
      </x:c>
      <x:c r="E36" s="10" t="str">
        <x:v>A chargeback totaling $148.40 USD was not protected by Shopify Protect because it was not fraudulent.</x:v>
      </x:c>
      <x:c r="F36" s="4" t="str">
        <x:v>gid://shopify/BasicEvent/176527231221856</x:v>
      </x:c>
      <x:c r="G36" s="4" t="str">
        <x:v>Trước kỳ</x:v>
      </x:c>
    </x:row>
    <x:row r="37" ht="44" customHeight="1">
      <x:c r="A37" s="9" t="str">
        <x:v>#HD3751-SPF</x:v>
      </x:c>
      <x:c r="B37" s="15" t="n">
        <x:v>46292.721817129626</x:v>
      </x:c>
      <x:c r="C37" s="19" t="d">
        <x:v>2026-09-28T00:19:25.000Z</x:v>
      </x:c>
      <x:c r="D37" s="9" t="str">
        <x:v>payments_adjustment</x:v>
      </x:c>
      <x:c r="E37" s="11" t="str">
        <x:v>$148.40 USD was deducted from your Sep 29, 2026 payout because of a chargeback.</x:v>
      </x:c>
      <x:c r="F37" s="9" t="str">
        <x:v>gid://shopify/BasicEvent/176552908980320</x:v>
      </x:c>
      <x:c r="G37" s="9" t="str">
        <x:v>Trước kỳ</x:v>
      </x:c>
    </x:row>
    <x:row r="38" ht="44" customHeight="1">
      <x:c r="A38" s="4" t="str">
        <x:v>#HD3751-SPF</x:v>
      </x:c>
      <x:c r="B38" s="14" t="n">
        <x:v>46296.84893518519</x:v>
      </x:c>
      <x:c r="C38" s="18" t="d">
        <x:v>2026-10-02T03:22:28.000Z</x:v>
      </x:c>
      <x:c r="D38" s="4" t="str">
        <x:v>dispute_won</x:v>
      </x:c>
      <x:c r="E38" s="10" t="str">
        <x:v>A chargeback totaling $148.40 was resolved in your favor. The amount will be added to your next payout.</x:v>
      </x:c>
      <x:c r="F38" s="4" t="str">
        <x:v>gid://shopify/BasicEvent/298934647488608</x:v>
      </x:c>
      <x:c r="G38" s="4" t="str">
        <x:v>Trong kỳ</x:v>
      </x:c>
    </x:row>
    <x:row r="39" ht="44" customHeight="1">
      <x:c r="A39" s="9" t="str">
        <x:v>#HD3754-SPF</x:v>
      </x:c>
      <x:c r="B39" s="15" t="n">
        <x:v>46286.266539351855</x:v>
      </x:c>
      <x:c r="C39" s="19" t="d">
        <x:v>2026-09-21T13:23:49.000Z</x:v>
      </x:c>
      <x:c r="D39" s="9" t="str">
        <x:v>dispute_created</x:v>
      </x:c>
      <x:c r="E39" s="11" t="str">
        <x:v>The customer opened a chargeback totaling $62.58.</x:v>
      </x:c>
      <x:c r="F39" s="9" t="str">
        <x:v>gid://shopify/BasicEvent/176206724038752</x:v>
      </x:c>
      <x:c r="G39" s="9" t="str">
        <x:v>Trước kỳ</x:v>
      </x:c>
    </x:row>
    <x:row r="40" ht="44" customHeight="1">
      <x:c r="A40" s="4" t="str">
        <x:v>#HD3754-SPF</x:v>
      </x:c>
      <x:c r="B40" s="14" t="n">
        <x:v>46286.72011574074</x:v>
      </x:c>
      <x:c r="C40" s="18" t="d">
        <x:v>2026-09-22T00:16:58.000Z</x:v>
      </x:c>
      <x:c r="D40" s="4" t="str">
        <x:v>payments_adjustment</x:v>
      </x:c>
      <x:c r="E40" s="10" t="str">
        <x:v>$62.58 USD was deducted from your Sep 23, 2026 payout because of a chargeback.</x:v>
      </x:c>
      <x:c r="F40" s="4" t="str">
        <x:v>gid://shopify/BasicEvent/176268613746784</x:v>
      </x:c>
      <x:c r="G40" s="4" t="str">
        <x:v>Trước kỳ</x:v>
      </x:c>
    </x:row>
    <x:row r="41" ht="44" customHeight="1">
      <x:c r="A41" s="9" t="str">
        <x:v>#HD3754-SPF</x:v>
      </x:c>
      <x:c r="B41" s="15" t="n">
        <x:v>46297.001018518524</x:v>
      </x:c>
      <x:c r="C41" s="19" t="d">
        <x:v>2026-10-02T07:01:28.000Z</x:v>
      </x:c>
      <x:c r="D41" s="9" t="str">
        <x:v>dispute_pending</x:v>
      </x:c>
      <x:c r="E41" s="11" t="str">
        <x:v>A chargeback response was submitted to the customer’s bank.</x:v>
      </x:c>
      <x:c r="F41" s="9" t="str">
        <x:v>gid://shopify/BasicEvent/298942260576352</x:v>
      </x:c>
      <x:c r="G41" s="9" t="str">
        <x:v>Trong kỳ</x:v>
      </x:c>
    </x:row>
    <x:row r="42" ht="44" customHeight="1">
      <x:c r="A42" s="4" t="str">
        <x:v>#HD3754-SPF</x:v>
      </x:c>
      <x:c r="B42" s="14" t="n">
        <x:v>46297.51263888889</x:v>
      </x:c>
      <x:c r="C42" s="18" t="d">
        <x:v>2026-10-02T19:18:12.000Z</x:v>
      </x:c>
      <x:c r="D42" s="4" t="str">
        <x:v>dispute_won</x:v>
      </x:c>
      <x:c r="E42" s="10" t="str">
        <x:v>A chargeback totaling $62.58 was resolved in your favor. The amount will be added to your next payout.</x:v>
      </x:c>
      <x:c r="F42" s="4" t="str">
        <x:v>gid://shopify/BasicEvent/298971395784800</x:v>
      </x:c>
      <x:c r="G42" s="4" t="str">
        <x:v>Trong kỳ</x:v>
      </x:c>
    </x:row>
    <x:row r="43" ht="44" customHeight="1">
      <x:c r="A43" s="9" t="str">
        <x:v>#HD3201-SPF</x:v>
      </x:c>
      <x:c r="B43" s="15" t="n">
        <x:v>46268.940520833334</x:v>
      </x:c>
      <x:c r="C43" s="19" t="d">
        <x:v>2026-09-04T05:34:21.000Z</x:v>
      </x:c>
      <x:c r="D43" s="9" t="str">
        <x:v>dispute_created</x:v>
      </x:c>
      <x:c r="E43" s="11" t="str">
        <x:v>The customer opened a chargeback totaling $106.21.</x:v>
      </x:c>
      <x:c r="F43" s="9" t="str">
        <x:v>gid://shopify/BasicEvent/174882435530848</x:v>
      </x:c>
      <x:c r="G43" s="9" t="str">
        <x:v>Trước kỳ</x:v>
      </x:c>
    </x:row>
    <x:row r="44" ht="44" customHeight="1">
      <x:c r="A44" s="4" t="str">
        <x:v>#HD3201-SPF</x:v>
      </x:c>
      <x:c r="B44" s="14" t="n">
        <x:v>46268.940520833334</x:v>
      </x:c>
      <x:c r="C44" s="18" t="d">
        <x:v>2026-09-04T05:34:21.000Z</x:v>
      </x:c>
      <x:c r="D44" s="4" t="str">
        <x:v>payments_adjustment</x:v>
      </x:c>
      <x:c r="E44" s="10" t="str">
        <x:v>$106.21 USD will be deducted from your next payout because of a chargeback.</x:v>
      </x:c>
      <x:c r="F44" s="4" t="str">
        <x:v>gid://shopify/BasicEvent/174882435563616</x:v>
      </x:c>
      <x:c r="G44" s="4" t="str">
        <x:v>Trước kỳ</x:v>
      </x:c>
    </x:row>
    <x:row r="45" ht="44" customHeight="1">
      <x:c r="A45" s="9" t="str">
        <x:v>#HD3201-SPF</x:v>
      </x:c>
      <x:c r="B45" s="15" t="n">
        <x:v>46272.738078703704</x:v>
      </x:c>
      <x:c r="C45" s="19" t="d">
        <x:v>2026-09-08T00:42:50.000Z</x:v>
      </x:c>
      <x:c r="D45" s="9" t="str">
        <x:v>payments_adjustment</x:v>
      </x:c>
      <x:c r="E45" s="11" t="str">
        <x:v>$106.21 USD was deducted from your Sep 9, 2026 payout because of a chargeback.</x:v>
      </x:c>
      <x:c r="F45" s="9" t="str">
        <x:v>gid://shopify/BasicEvent/175059559972960</x:v>
      </x:c>
      <x:c r="G45" s="9" t="str">
        <x:v>Trước kỳ</x:v>
      </x:c>
    </x:row>
    <x:row r="46" ht="44" customHeight="1">
      <x:c r="A46" s="4" t="str">
        <x:v>#HD3201-SPF</x:v>
      </x:c>
      <x:c r="B46" s="14" t="n">
        <x:v>46279.945069444446</x:v>
      </x:c>
      <x:c r="C46" s="18" t="d">
        <x:v>2026-09-15T05:40:54.000Z</x:v>
      </x:c>
      <x:c r="D46" s="4" t="str">
        <x:v>dispute_pending</x:v>
      </x:c>
      <x:c r="E46" s="10" t="str">
        <x:v>A chargeback response was submitted to the customer’s bank.</x:v>
      </x:c>
      <x:c r="F46" s="4" t="str">
        <x:v>gid://shopify/BasicEvent/175624795684960</x:v>
      </x:c>
      <x:c r="G46" s="4" t="str">
        <x:v>Trước kỳ</x:v>
      </x:c>
    </x:row>
    <x:row r="47" ht="44" customHeight="1">
      <x:c r="A47" s="9" t="str">
        <x:v>#HD3361-SPF</x:v>
      </x:c>
      <x:c r="B47" s="15" t="n">
        <x:v>46286.44019675926</x:v>
      </x:c>
      <x:c r="C47" s="19" t="d">
        <x:v>2026-09-21T17:33:53.000Z</x:v>
      </x:c>
      <x:c r="D47" s="9" t="str">
        <x:v>payments_adjustment</x:v>
      </x:c>
      <x:c r="E47" s="11" t="str">
        <x:v>$56.91 USD will be deducted and reimbursed by Shopify Protect from your next payout because of a chargeback.</x:v>
      </x:c>
      <x:c r="F47" s="9" t="str">
        <x:v>gid://shopify/BasicEvent/176220377383008</x:v>
      </x:c>
      <x:c r="G47" s="9" t="str">
        <x:v>Trước kỳ</x:v>
      </x:c>
    </x:row>
    <x:row r="48" ht="44" customHeight="1">
      <x:c r="A48" s="4" t="str">
        <x:v>#HD3361-SPF</x:v>
      </x:c>
      <x:c r="B48" s="14" t="n">
        <x:v>46286.72011574074</x:v>
      </x:c>
      <x:c r="C48" s="18" t="d">
        <x:v>2026-09-22T00:16:58.000Z</x:v>
      </x:c>
      <x:c r="D48" s="4" t="str">
        <x:v>payments_adjustment</x:v>
      </x:c>
      <x:c r="E48" s="10" t="str">
        <x:v>$56.91 USD was deducted and reimbursed by Shopify Protect from your Sep 23, 2026 payout because of a chargeback.</x:v>
      </x:c>
      <x:c r="F48" s="4" t="str">
        <x:v>gid://shopify/BasicEvent/176268613779552</x:v>
      </x:c>
      <x:c r="G48" s="4" t="str">
        <x:v>Trước kỳ</x:v>
      </x:c>
    </x:row>
    <x:row r="49" ht="44" customHeight="1">
      <x:c r="A49" s="9" t="str">
        <x:v>#HD3495-SPF</x:v>
      </x:c>
      <x:c r="B49" s="15" t="n">
        <x:v>46286.88260416666</x:v>
      </x:c>
      <x:c r="C49" s="19" t="d">
        <x:v>2026-09-22T04:10:57.000Z</x:v>
      </x:c>
      <x:c r="D49" s="9" t="str">
        <x:v>payments_adjustment</x:v>
      </x:c>
      <x:c r="E49" s="11" t="str">
        <x:v>$50.90 USD will be deducted and reimbursed by Shopify Protect from your next payout because of a chargeback.</x:v>
      </x:c>
      <x:c r="F49" s="9" t="str">
        <x:v>gid://shopify/BasicEvent/176278289645664</x:v>
      </x:c>
      <x:c r="G49" s="9" t="str">
        <x:v>Trước kỳ</x:v>
      </x:c>
    </x:row>
    <x:row r="50" ht="44" customHeight="1">
      <x:c r="A50" s="4" t="str">
        <x:v>#HD3495-SPF</x:v>
      </x:c>
      <x:c r="B50" s="14" t="n">
        <x:v>46287.71440972222</x:v>
      </x:c>
      <x:c r="C50" s="18" t="d">
        <x:v>2026-09-23T00:08:45.000Z</x:v>
      </x:c>
      <x:c r="D50" s="4" t="str">
        <x:v>payments_adjustment</x:v>
      </x:c>
      <x:c r="E50" s="10" t="str">
        <x:v>$50.90 USD was deducted and reimbursed by Shopify Protect from your Sep 24, 2026 payout because of a chargeback.</x:v>
      </x:c>
      <x:c r="F50" s="4" t="str">
        <x:v>gid://shopify/BasicEvent/176321537572960</x:v>
      </x:c>
      <x:c r="G50" s="4" t="str">
        <x:v>Trước kỳ</x:v>
      </x:c>
    </x:row>
    <x:row r="51" ht="44" customHeight="1">
      <x:c r="A51" s="9" t="str">
        <x:v>#HD3571-SPF</x:v>
      </x:c>
      <x:c r="B51" s="15" t="n">
        <x:v>46288.64579861111</x:v>
      </x:c>
      <x:c r="C51" s="19" t="d">
        <x:v>2026-09-23T22:29:57.000Z</x:v>
      </x:c>
      <x:c r="D51" s="9" t="str">
        <x:v>dispute_created</x:v>
      </x:c>
      <x:c r="E51" s="11" t="str">
        <x:v>The customer opened a chargeback totaling $52.41.</x:v>
      </x:c>
      <x:c r="F51" s="9" t="str">
        <x:v>gid://shopify/BasicEvent/176395832918112</x:v>
      </x:c>
      <x:c r="G51" s="9" t="str">
        <x:v>Trước kỳ</x:v>
      </x:c>
    </x:row>
    <x:row r="52" ht="44" customHeight="1">
      <x:c r="A52" s="4" t="str">
        <x:v>#HD3571-SPF</x:v>
      </x:c>
      <x:c r="B52" s="14" t="n">
        <x:v>46288.64728009259</x:v>
      </x:c>
      <x:c r="C52" s="18" t="d">
        <x:v>2026-09-23T22:32:05.000Z</x:v>
      </x:c>
      <x:c r="D52" s="4" t="str">
        <x:v>dispute_needs_response</x:v>
      </x:c>
      <x:c r="E52" s="10" t="str">
        <x:v>The chargeback totaling $52.41 needs a response.</x:v>
      </x:c>
      <x:c r="F52" s="4" t="str">
        <x:v>gid://shopify/BasicEvent/176396143919200</x:v>
      </x:c>
      <x:c r="G52" s="4" t="str">
        <x:v>Trước kỳ</x:v>
      </x:c>
    </x:row>
    <x:row r="53" ht="44" customHeight="1">
      <x:c r="A53" s="9" t="str">
        <x:v>#HD3571-SPF</x:v>
      </x:c>
      <x:c r="B53" s="15" t="n">
        <x:v>46297.327210648145</x:v>
      </x:c>
      <x:c r="C53" s="19" t="d">
        <x:v>2026-10-02T14:51:11.000Z</x:v>
      </x:c>
      <x:c r="D53" s="9" t="str">
        <x:v>dispute_pending</x:v>
      </x:c>
      <x:c r="E53" s="11" t="str">
        <x:v>A chargeback response was submitted to the customer’s bank.</x:v>
      </x:c>
      <x:c r="F53" s="9" t="str">
        <x:v>gid://shopify/BasicEvent/298956090867808</x:v>
      </x:c>
      <x:c r="G53" s="9" t="str">
        <x:v>Trong kỳ</x:v>
      </x:c>
    </x:row>
    <x:row r="54" ht="44" customHeight="1">
      <x:c r="A54" s="4" t="str">
        <x:v>#HD3571-SPF</x:v>
      </x:c>
      <x:c r="B54" s="14" t="n">
        <x:v>46297.965891203705</x:v>
      </x:c>
      <x:c r="C54" s="18" t="d">
        <x:v>2026-10-03T06:10:53.000Z</x:v>
      </x:c>
      <x:c r="D54" s="4" t="str">
        <x:v>payments_adjustment</x:v>
      </x:c>
      <x:c r="E54" s="10" t="str">
        <x:v>$37.41 USD was deducted from your Oct 5, 2026 payout because of a chargeback.</x:v>
      </x:c>
      <x:c r="F54" s="4" t="str">
        <x:v>gid://shopify/BasicEvent/299011842572384</x:v>
      </x:c>
      <x:c r="G54" s="4" t="str">
        <x:v>Trong kỳ</x:v>
      </x:c>
    </x:row>
    <x:row r="55" ht="44" customHeight="1">
      <x:c r="A55" s="9" t="str">
        <x:v>#HD3828-SPF</x:v>
      </x:c>
      <x:c r="B55" s="15" t="n">
        <x:v>46289.72445601852</x:v>
      </x:c>
      <x:c r="C55" s="19" t="d">
        <x:v>2026-09-25T00:23:13.000Z</x:v>
      </x:c>
      <x:c r="D55" s="9" t="str">
        <x:v>payments_adjustment</x:v>
      </x:c>
      <x:c r="E55" s="11" t="str">
        <x:v>$44.91 USD will be deducted from your next payout because of a chargeback.</x:v>
      </x:c>
      <x:c r="F55" s="9" t="str">
        <x:v>gid://shopify/BasicEvent/176448297861216</x:v>
      </x:c>
      <x:c r="G55" s="9" t="str">
        <x:v>Trước kỳ</x:v>
      </x:c>
    </x:row>
    <x:row r="56" ht="44" customHeight="1">
      <x:c r="A56" s="4" t="str">
        <x:v>#HD3828-SPF</x:v>
      </x:c>
      <x:c r="B56" s="14" t="n">
        <x:v>46289.734872685185</x:v>
      </x:c>
      <x:c r="C56" s="18" t="d">
        <x:v>2026-09-25T00:38:13.000Z</x:v>
      </x:c>
      <x:c r="D56" s="4" t="str">
        <x:v>seller_protection_dispute_not_covered</x:v>
      </x:c>
      <x:c r="E56" s="10" t="str">
        <x:v>A chargeback totaling $44.91 USD was not protected by Shopify Protect because it was not fraudulent.</x:v>
      </x:c>
      <x:c r="F56" s="4" t="str">
        <x:v>gid://shopify/BasicEvent/176448651788384</x:v>
      </x:c>
      <x:c r="G56" s="4" t="str">
        <x:v>Trước kỳ</x:v>
      </x:c>
    </x:row>
    <x:row r="57" ht="44" customHeight="1">
      <x:c r="A57" s="9" t="str">
        <x:v>#HD3828-SPF</x:v>
      </x:c>
      <x:c r="B57" s="15" t="n">
        <x:v>46291.71153935185</x:v>
      </x:c>
      <x:c r="C57" s="19" t="d">
        <x:v>2026-09-27T00:04:37.000Z</x:v>
      </x:c>
      <x:c r="D57" s="9" t="str">
        <x:v>payments_adjustment</x:v>
      </x:c>
      <x:c r="E57" s="11" t="str">
        <x:v>$44.91 USD was deducted from your Sep 28, 2026 payout because of a chargeback.</x:v>
      </x:c>
      <x:c r="F57" s="9" t="str">
        <x:v>gid://shopify/BasicEvent/176523788320864</x:v>
      </x:c>
      <x:c r="G57" s="9" t="str">
        <x:v>Trước kỳ</x:v>
      </x:c>
    </x:row>
    <x:row r="58" ht="44" customHeight="1">
      <x:c r="A58" s="4" t="str">
        <x:v>#HD3828-SPF</x:v>
      </x:c>
      <x:c r="B58" s="14" t="n">
        <x:v>46297.20226851852</x:v>
      </x:c>
      <x:c r="C58" s="18" t="d">
        <x:v>2026-10-02T11:51:16.000Z</x:v>
      </x:c>
      <x:c r="D58" s="4" t="str">
        <x:v>dispute_pending</x:v>
      </x:c>
      <x:c r="E58" s="10" t="str">
        <x:v>A chargeback response was submitted to the customer’s bank.</x:v>
      </x:c>
      <x:c r="F58" s="4" t="str">
        <x:v>gid://shopify/BasicEvent/298951598047328</x:v>
      </x:c>
      <x:c r="G58" s="4" t="str">
        <x:v>Trong kỳ</x:v>
      </x:c>
    </x:row>
    <x:row r="59" ht="44" customHeight="1">
      <x:c r="A59" s="9" t="str">
        <x:v>#HD3862-SPF</x:v>
      </x:c>
      <x:c r="B59" s="15" t="n">
        <x:v>46285.02802083333</x:v>
      </x:c>
      <x:c r="C59" s="19" t="d">
        <x:v>2026-09-20T07:40:21.000Z</x:v>
      </x:c>
      <x:c r="D59" s="9" t="str">
        <x:v>dispute_created</x:v>
      </x:c>
      <x:c r="E59" s="11" t="str">
        <x:v>The customer opened a chargeback totaling $171.63.</x:v>
      </x:c>
      <x:c r="F59" s="9" t="str">
        <x:v>gid://shopify/BasicEvent/176150783721568</x:v>
      </x:c>
      <x:c r="G59" s="9" t="str">
        <x:v>Trước kỳ</x:v>
      </x:c>
    </x:row>
    <x:row r="60" ht="44" customHeight="1">
      <x:c r="A60" s="4" t="str">
        <x:v>#HD3862-SPF</x:v>
      </x:c>
      <x:c r="B60" s="14" t="n">
        <x:v>46285.02920138889</x:v>
      </x:c>
      <x:c r="C60" s="18" t="d">
        <x:v>2026-09-20T07:42:03.000Z</x:v>
      </x:c>
      <x:c r="D60" s="4" t="str">
        <x:v>dispute_needs_response</x:v>
      </x:c>
      <x:c r="E60" s="10" t="str">
        <x:v>The chargeback totaling $171.63 needs a response.</x:v>
      </x:c>
      <x:c r="F60" s="4" t="str">
        <x:v>gid://shopify/BasicEvent/176150842507360</x:v>
      </x:c>
      <x:c r="G60" s="4" t="str">
        <x:v>Trước kỳ</x:v>
      </x:c>
    </x:row>
    <x:row r="61" ht="44" customHeight="1">
      <x:c r="A61" s="9" t="str">
        <x:v>#HD3862-SPF</x:v>
      </x:c>
      <x:c r="B61" s="15" t="n">
        <x:v>46293.35025462963</x:v>
      </x:c>
      <x:c r="C61" s="19" t="d">
        <x:v>2026-09-28T15:24:22.000Z</x:v>
      </x:c>
      <x:c r="D61" s="9" t="str">
        <x:v>dispute_pending</x:v>
      </x:c>
      <x:c r="E61" s="11" t="str">
        <x:v>Evidence was submitted for your chargeback.</x:v>
      </x:c>
      <x:c r="F61" s="9" t="str">
        <x:v>gid://shopify/BasicEvent/176581256773728</x:v>
      </x:c>
      <x:c r="G61" s="9" t="str">
        <x:v>Trước kỳ</x:v>
      </x:c>
    </x:row>
    <x:row r="62" ht="44" customHeight="1">
      <x:c r="A62" s="4" t="str">
        <x:v>#HD4059-SPF</x:v>
      </x:c>
      <x:c r="B62" s="14" t="n">
        <x:v>46293.850023148145</x:v>
      </x:c>
      <x:c r="C62" s="18" t="d">
        <x:v>2026-09-29T03:24:02.000Z</x:v>
      </x:c>
      <x:c r="D62" s="4" t="str">
        <x:v>payments_adjustment</x:v>
      </x:c>
      <x:c r="E62" s="10" t="str">
        <x:v>$125.12 USD will be deducted from your next payout because of a chargeback.</x:v>
      </x:c>
      <x:c r="F62" s="4" t="str">
        <x:v>gid://shopify/BasicEvent/176613736448096</x:v>
      </x:c>
      <x:c r="G62" s="4" t="str">
        <x:v>Trước kỳ</x:v>
      </x:c>
    </x:row>
    <x:row r="63" ht="44" customHeight="1">
      <x:c r="A63" s="9" t="str">
        <x:v>#HD4059-SPF</x:v>
      </x:c>
      <x:c r="B63" s="15" t="n">
        <x:v>46293.860451388886</x:v>
      </x:c>
      <x:c r="C63" s="19" t="d">
        <x:v>2026-09-29T03:39:03.000Z</x:v>
      </x:c>
      <x:c r="D63" s="9" t="str">
        <x:v>seller_protection_dispute_not_covered</x:v>
      </x:c>
      <x:c r="E63" s="11" t="str">
        <x:v>A chargeback totaling $125.12 USD was not protected by Shopify Protect because it was not fraudulent.</x:v>
      </x:c>
      <x:c r="F63" s="9" t="str">
        <x:v>gid://shopify/BasicEvent/176614390661216</x:v>
      </x:c>
      <x:c r="G63" s="9" t="str">
        <x:v>Trước kỳ</x:v>
      </x:c>
    </x:row>
    <x:row r="64" ht="44" customHeight="1">
      <x:c r="A64" s="4" t="str">
        <x:v>#HD4059-SPF</x:v>
      </x:c>
      <x:c r="B64" s="14" t="n">
        <x:v>46294.72866898148</x:v>
      </x:c>
      <x:c r="C64" s="18" t="d">
        <x:v>2026-09-30T00:29:17.000Z</x:v>
      </x:c>
      <x:c r="D64" s="4" t="str">
        <x:v>payments_adjustment</x:v>
      </x:c>
      <x:c r="E64" s="10" t="str">
        <x:v>$125.12 USD was deducted from your Oct 1, 2026 payout because of a chargeback.</x:v>
      </x:c>
      <x:c r="F64" s="4" t="str">
        <x:v>gid://shopify/BasicEvent/298817973157984</x:v>
      </x:c>
      <x:c r="G64" s="4" t="str">
        <x:v>Trước kỳ</x:v>
      </x:c>
    </x:row>
    <x:row r="65" ht="44" customHeight="1">
      <x:c r="A65" s="9" t="str">
        <x:v>#HD4059-SPF</x:v>
      </x:c>
      <x:c r="B65" s="15" t="n">
        <x:v>46297.23432870371</x:v>
      </x:c>
      <x:c r="C65" s="19" t="d">
        <x:v>2026-10-02T12:37:26.000Z</x:v>
      </x:c>
      <x:c r="D65" s="9" t="str">
        <x:v>dispute_pending</x:v>
      </x:c>
      <x:c r="E65" s="11" t="str">
        <x:v>A chargeback response was submitted to the customer’s bank.</x:v>
      </x:c>
      <x:c r="F65" s="9" t="str">
        <x:v>gid://shopify/BasicEvent/298952385888352</x:v>
      </x:c>
      <x:c r="G65" s="9" t="str">
        <x:v>Trong kỳ</x:v>
      </x:c>
    </x:row>
  </x:sheetData>
  <x:pageMargins left="0.7" right="0.7" top="0.75" bottom="0.75" header="0.3" footer="0.3"/>
  <x:tableParts count="1">
    <x:tablePart xmlns:r="http://schemas.openxmlformats.org/officeDocument/2006/relationships" r:id="R6ba56455ac2347b8"/>
  </x:tableParts>
</x:worksheet>
</file>